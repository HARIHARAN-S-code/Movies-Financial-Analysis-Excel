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Lap1043\Downloads\"/>
    </mc:Choice>
  </mc:AlternateContent>
  <xr:revisionPtr revIDLastSave="0" documentId="13_ncr:1_{299FB229-8AC6-40ED-A075-936C4E100D9F}" xr6:coauthVersionLast="36" xr6:coauthVersionMax="47" xr10:uidLastSave="{00000000-0000-0000-0000-000000000000}"/>
  <bookViews>
    <workbookView xWindow="-105" yWindow="-105" windowWidth="23250" windowHeight="12450" tabRatio="899" activeTab="6" xr2:uid="{A977DE7D-D702-49CE-91A6-82E38892F5D4}"/>
  </bookViews>
  <sheets>
    <sheet name="Sheet1" sheetId="17" r:id="rId1"/>
    <sheet name="Movies1" sheetId="11" r:id="rId2"/>
    <sheet name="Financials" sheetId="2" r:id="rId3"/>
    <sheet name="Actors" sheetId="3" r:id="rId4"/>
    <sheet name="Movie Actor" sheetId="4" r:id="rId5"/>
    <sheet name="Language" sheetId="13" r:id="rId6"/>
    <sheet name="Dashboard" sheetId="14" r:id="rId7"/>
  </sheets>
  <definedNames>
    <definedName name="_xlcn.WorksheetConnection_MoviesDBupdatedCopyCopy.xlsxTable1__21" hidden="1">Table1__2[]</definedName>
    <definedName name="_xlcn.WorksheetConnection_MoviesDBupdatedCopyCopy.xlsxTable1_11" hidden="1">Table1_1</definedName>
    <definedName name="_xlcn.WorksheetConnection_MoviesDBupdatedCopyCopy.xlsxTable11" hidden="1">Table1</definedName>
    <definedName name="_xlcn.WorksheetConnection_MoviesDBupdatedCopyCopy.xlsxTable21" hidden="1">Table2[]</definedName>
    <definedName name="_xlcn.WorksheetConnection_MoviesDBupdatedCopyCopy.xlsxTable41" hidden="1">Table4[]</definedName>
    <definedName name="_xlcn.WorksheetConnection_MoviesDBupdatedCopyCopy.xlsxTable51" hidden="1">Table5</definedName>
    <definedName name="book">Financials!$B$1:$G$41</definedName>
    <definedName name="box">#REF!</definedName>
    <definedName name="ExternalData_1" localSheetId="5" hidden="1">Language!$A$1:$B$9</definedName>
    <definedName name="ExternalData_1" localSheetId="1" hidden="1">Movies1!$A$1:$K$40</definedName>
    <definedName name="note">Financials!$E:$G</definedName>
    <definedName name="Slicer_industry">#N/A</definedName>
    <definedName name="Slicer_Language">#N/A</definedName>
    <definedName name="Slicer_studio">#N/A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5" name="Languages" connection="WorksheetConnection_Movies DB updated - Copy - Copy.xlsx!Table5"/>
          <x15:modelTable id="Table4" name="Movie Actor" connection="WorksheetConnection_Movies DB updated - Copy - Copy.xlsx!Table4"/>
          <x15:modelTable id="Table2" name="Table2" connection="WorksheetConnection_Movies DB updated - Copy - Copy.xlsx!Table2"/>
          <x15:modelTable id="Table1_1" name="Table1_1" connection="WorksheetConnection_Movies DB updated - Copy - Copy.xlsx!Table1_1"/>
          <x15:modelTable id="Table1__2" name="Table1__2" connection="WorksheetConnection_Movies DB updated - Copy - Copy.xlsx!Table1__2"/>
          <x15:modelTable id="Table1" name="Table1" connection="WorksheetConnection_Movies DB updated - Copy - Copy.xlsx!Table1"/>
        </x15:modelTables>
        <x15:modelRelationships>
          <x15:modelRelationship fromTable="Table1" fromColumn="language_id" toTable="Languages" toColumn="language_id"/>
          <x15:modelRelationship fromTable="Table2" fromColumn="movie_i+E+A1:E37" toTable="Table1" toColumn="mov"/>
        </x15:modelRelationships>
      </x15:dataModel>
    </ext>
  </extLst>
</workbook>
</file>

<file path=xl/calcChain.xml><?xml version="1.0" encoding="utf-8"?>
<calcChain xmlns="http://schemas.openxmlformats.org/spreadsheetml/2006/main">
  <c r="F3" i="2"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H45" i="17"/>
  <c r="E45" i="17"/>
  <c r="B45" i="17"/>
  <c r="K41" i="17"/>
  <c r="G41" i="2" l="1"/>
  <c r="G39" i="2"/>
  <c r="G34" i="2"/>
  <c r="G26" i="2"/>
  <c r="G18" i="2"/>
  <c r="G10" i="2"/>
  <c r="G25" i="2"/>
  <c r="G17" i="2"/>
  <c r="G9" i="2"/>
  <c r="G40" i="2"/>
  <c r="G32" i="2"/>
  <c r="G24" i="2"/>
  <c r="G16" i="2"/>
  <c r="G8" i="2"/>
  <c r="G31" i="2"/>
  <c r="G38" i="2"/>
  <c r="G30" i="2"/>
  <c r="G22" i="2"/>
  <c r="G14" i="2"/>
  <c r="G6" i="2"/>
  <c r="G7" i="2"/>
  <c r="G37" i="2"/>
  <c r="G29" i="2"/>
  <c r="G21" i="2"/>
  <c r="G13" i="2"/>
  <c r="G5" i="2"/>
  <c r="G33" i="2"/>
  <c r="G15" i="2"/>
  <c r="G36" i="2"/>
  <c r="G28" i="2"/>
  <c r="G20" i="2"/>
  <c r="G12" i="2"/>
  <c r="G4" i="2"/>
  <c r="G23" i="2"/>
  <c r="G35" i="2"/>
  <c r="G27" i="2"/>
  <c r="G19" i="2"/>
  <c r="G11" i="2"/>
  <c r="G3" i="2"/>
  <c r="G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7D895C-6505-4A9C-B317-C7C1A1FD9090}"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2" xr16:uid="{77FE4B84-6358-420D-BA52-914841BDAA35}"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3" xr16:uid="{8223D6F2-F65A-451E-A559-2DEC4D96D28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13D8ED83-7E45-4DDE-8190-025D32B1B537}" name="WorksheetConnection_Movies DB updated - Copy - Copy.xlsx!Table1" type="102" refreshedVersion="8" minRefreshableVersion="5">
    <extLst>
      <ext xmlns:x15="http://schemas.microsoft.com/office/spreadsheetml/2010/11/main" uri="{DE250136-89BD-433C-8126-D09CA5730AF9}">
        <x15:connection id="Table1">
          <x15:rangePr sourceName="_xlcn.WorksheetConnection_MoviesDBupdatedCopyCopy.xlsxTable11"/>
        </x15:connection>
      </ext>
    </extLst>
  </connection>
  <connection id="5" xr16:uid="{F71BA0FB-DBC8-4C7B-8888-2638B6C8E4D1}" name="WorksheetConnection_Movies DB updated - Copy - Copy.xlsx!Table1__2" type="102" refreshedVersion="8" minRefreshableVersion="5">
    <extLst>
      <ext xmlns:x15="http://schemas.microsoft.com/office/spreadsheetml/2010/11/main" uri="{DE250136-89BD-433C-8126-D09CA5730AF9}">
        <x15:connection id="Table1__2">
          <x15:rangePr sourceName="_xlcn.WorksheetConnection_MoviesDBupdatedCopyCopy.xlsxTable1__21"/>
        </x15:connection>
      </ext>
    </extLst>
  </connection>
  <connection id="6" xr16:uid="{063DD96A-B7A7-4CC2-82C4-A3A4F23EFDE6}" name="WorksheetConnection_Movies DB updated - Copy - Copy.xlsx!Table1_1" type="102" refreshedVersion="8" minRefreshableVersion="5">
    <extLst>
      <ext xmlns:x15="http://schemas.microsoft.com/office/spreadsheetml/2010/11/main" uri="{DE250136-89BD-433C-8126-D09CA5730AF9}">
        <x15:connection id="Table1_1">
          <x15:rangePr sourceName="_xlcn.WorksheetConnection_MoviesDBupdatedCopyCopy.xlsxTable1_11"/>
        </x15:connection>
      </ext>
    </extLst>
  </connection>
  <connection id="7" xr16:uid="{35BF737D-3710-4FC1-A8BD-D677DC72EB92}" name="WorksheetConnection_Movies DB updated - Copy - Copy.xlsx!Table2" type="102" refreshedVersion="8" minRefreshableVersion="5">
    <extLst>
      <ext xmlns:x15="http://schemas.microsoft.com/office/spreadsheetml/2010/11/main" uri="{DE250136-89BD-433C-8126-D09CA5730AF9}">
        <x15:connection id="Table2">
          <x15:rangePr sourceName="_xlcn.WorksheetConnection_MoviesDBupdatedCopyCopy.xlsxTable21"/>
        </x15:connection>
      </ext>
    </extLst>
  </connection>
  <connection id="8" xr16:uid="{330D9190-9687-4224-8682-81D463264716}" name="WorksheetConnection_Movies DB updated - Copy - Copy.xlsx!Table4" type="102" refreshedVersion="8" minRefreshableVersion="5">
    <extLst>
      <ext xmlns:x15="http://schemas.microsoft.com/office/spreadsheetml/2010/11/main" uri="{DE250136-89BD-433C-8126-D09CA5730AF9}">
        <x15:connection id="Table4">
          <x15:rangePr sourceName="_xlcn.WorksheetConnection_MoviesDBupdatedCopyCopy.xlsxTable41"/>
        </x15:connection>
      </ext>
    </extLst>
  </connection>
  <connection id="9" xr16:uid="{A1D560F4-2840-44F6-ACEE-1A5E603A276F}" name="WorksheetConnection_Movies DB updated - Copy - Copy.xlsx!Table5" type="102" refreshedVersion="8" minRefreshableVersion="5">
    <extLst>
      <ext xmlns:x15="http://schemas.microsoft.com/office/spreadsheetml/2010/11/main" uri="{DE250136-89BD-433C-8126-D09CA5730AF9}">
        <x15:connection id="Table5">
          <x15:rangePr sourceName="_xlcn.WorksheetConnection_MoviesDBupdatedCopyCopy.xlsxTable51"/>
        </x15:connection>
      </ext>
    </extLst>
  </connection>
</connections>
</file>

<file path=xl/sharedStrings.xml><?xml version="1.0" encoding="utf-8"?>
<sst xmlns="http://schemas.openxmlformats.org/spreadsheetml/2006/main" count="482" uniqueCount="170">
  <si>
    <t>imdb_rating</t>
  </si>
  <si>
    <t>studio</t>
  </si>
  <si>
    <t>language_id</t>
  </si>
  <si>
    <t>Marvel Studios</t>
  </si>
  <si>
    <t>United Producers</t>
  </si>
  <si>
    <t>Yash Raj Films</t>
  </si>
  <si>
    <t>Dharma Productions</t>
  </si>
  <si>
    <t>Castle Rock Entertainment</t>
  </si>
  <si>
    <t>Warner Bros. Pictures</t>
  </si>
  <si>
    <t>Columbia Pictures</t>
  </si>
  <si>
    <t>Paramount Pictures</t>
  </si>
  <si>
    <t>Liberty Films</t>
  </si>
  <si>
    <t>20th Century Fox</t>
  </si>
  <si>
    <t>Syncopy</t>
  </si>
  <si>
    <t>Universal Pictures</t>
  </si>
  <si>
    <t>Vinod Chopra Productions</t>
  </si>
  <si>
    <t>Vinod Chopra Films</t>
  </si>
  <si>
    <t>Mythri Movie Makers</t>
  </si>
  <si>
    <t>DVV Entertainment</t>
  </si>
  <si>
    <t>Arka Media Works</t>
  </si>
  <si>
    <t>Zee Studios</t>
  </si>
  <si>
    <t>Salman Khan Films</t>
  </si>
  <si>
    <t>movie_id</t>
  </si>
  <si>
    <t>budget</t>
  </si>
  <si>
    <t>revenue</t>
  </si>
  <si>
    <t>currency</t>
  </si>
  <si>
    <t>INR</t>
  </si>
  <si>
    <t>USD</t>
  </si>
  <si>
    <t>actor_id</t>
  </si>
  <si>
    <t>name</t>
  </si>
  <si>
    <t>birth_year</t>
  </si>
  <si>
    <t>Yash</t>
  </si>
  <si>
    <t>Sanjay Dutt</t>
  </si>
  <si>
    <t>Benedict Cumberbatch</t>
  </si>
  <si>
    <t>Elizabeth Olsen</t>
  </si>
  <si>
    <t>Chris Hemsworth</t>
  </si>
  <si>
    <t>Natalie Portman</t>
  </si>
  <si>
    <t>Tom Hiddleston</t>
  </si>
  <si>
    <t>Amitabh Bachchan</t>
  </si>
  <si>
    <t>Jaya Bachchan</t>
  </si>
  <si>
    <t>Shah Rukh Khan</t>
  </si>
  <si>
    <t>Kajol</t>
  </si>
  <si>
    <t>Aamir Khan</t>
  </si>
  <si>
    <t>R. Madhavan</t>
  </si>
  <si>
    <t>Sharman Joshi</t>
  </si>
  <si>
    <t>Hrithik Roshan</t>
  </si>
  <si>
    <t>Ranveer Singh</t>
  </si>
  <si>
    <t>Deepika Padukone</t>
  </si>
  <si>
    <t>Tim Robbins</t>
  </si>
  <si>
    <t>Morgan Freeman</t>
  </si>
  <si>
    <t>Leonardo DiCaprio</t>
  </si>
  <si>
    <t>Ken Watanabe</t>
  </si>
  <si>
    <t>Matthew McConaughey</t>
  </si>
  <si>
    <t>Anne Hathaway</t>
  </si>
  <si>
    <t>John David Washington</t>
  </si>
  <si>
    <t>Robert Pattinson</t>
  </si>
  <si>
    <t>Will Smith</t>
  </si>
  <si>
    <t>Thandiwe Newton</t>
  </si>
  <si>
    <t>Russell Crowe</t>
  </si>
  <si>
    <t>Joaquin Phoenix</t>
  </si>
  <si>
    <t>Kate Winslet</t>
  </si>
  <si>
    <t>James Stewart</t>
  </si>
  <si>
    <t>Donna Reed</t>
  </si>
  <si>
    <t>Sam Worthington</t>
  </si>
  <si>
    <t>Zoe Saldana</t>
  </si>
  <si>
    <t>Marlon Brando</t>
  </si>
  <si>
    <t>Al Pacino</t>
  </si>
  <si>
    <t>Christian Bale</t>
  </si>
  <si>
    <t>Heath Ledger</t>
  </si>
  <si>
    <t>Liam Neeson</t>
  </si>
  <si>
    <t>Ben Kingsley</t>
  </si>
  <si>
    <t>Sam Neill</t>
  </si>
  <si>
    <t>Laura Dern</t>
  </si>
  <si>
    <t>Song Kang-ho</t>
  </si>
  <si>
    <t>Lee Sun-kyun</t>
  </si>
  <si>
    <t>Robert Downey Jr.</t>
  </si>
  <si>
    <t>Chris Evans</t>
  </si>
  <si>
    <t>Kanu Banerjee</t>
  </si>
  <si>
    <t>Karuna Banerjee</t>
  </si>
  <si>
    <t>Darsheel Safary</t>
  </si>
  <si>
    <t>Sunil Dutt</t>
  </si>
  <si>
    <t>Anushka Sharma</t>
  </si>
  <si>
    <t>Ranbir Kapoor</t>
  </si>
  <si>
    <t>Allu Arjun</t>
  </si>
  <si>
    <t>Fahadh Faasil</t>
  </si>
  <si>
    <t>N. T. Rama Rao Jr.</t>
  </si>
  <si>
    <t>Ram Charan</t>
  </si>
  <si>
    <t>Prabhas</t>
  </si>
  <si>
    <t>Rana Daggubati</t>
  </si>
  <si>
    <t>Mithun Chakraborty</t>
  </si>
  <si>
    <t>Anupam Kher</t>
  </si>
  <si>
    <t>Salman Khan</t>
  </si>
  <si>
    <t>Nawazuddin Siddiqui</t>
  </si>
  <si>
    <t>Tommy Lee Jones</t>
  </si>
  <si>
    <t>Sebastian Stan</t>
  </si>
  <si>
    <t>Anil Kapoor</t>
  </si>
  <si>
    <t>Sidharth Malhotra</t>
  </si>
  <si>
    <t>Kiara Advani</t>
  </si>
  <si>
    <t>Kumaran</t>
  </si>
  <si>
    <t>Hindi</t>
  </si>
  <si>
    <t>Telugu</t>
  </si>
  <si>
    <t>Kannada</t>
  </si>
  <si>
    <t>Tamil</t>
  </si>
  <si>
    <t>English</t>
  </si>
  <si>
    <t>French</t>
  </si>
  <si>
    <t>Bengali</t>
  </si>
  <si>
    <t>Gujarati</t>
  </si>
  <si>
    <t>budget in INR</t>
  </si>
  <si>
    <t>movie_i+E+A1:E37</t>
  </si>
  <si>
    <t>K.G.F: Chapter 2</t>
  </si>
  <si>
    <t>Doctor Strange in the Multiverse of Madness</t>
  </si>
  <si>
    <t>Thor: The Dark World</t>
  </si>
  <si>
    <t>Thor: Ragnarok</t>
  </si>
  <si>
    <t>Thor: Love and Thunder</t>
  </si>
  <si>
    <t>Sholay</t>
  </si>
  <si>
    <t>Dilwale Dulhania Le Jayenge</t>
  </si>
  <si>
    <t>3 Idiots</t>
  </si>
  <si>
    <t>Kabhi Khushi Kabhie Gham</t>
  </si>
  <si>
    <t>Bajirao Mastani</t>
  </si>
  <si>
    <t>The Shawshank Redemption</t>
  </si>
  <si>
    <t>Inception</t>
  </si>
  <si>
    <t>Interstellar</t>
  </si>
  <si>
    <t>The Pursuit of Happyness</t>
  </si>
  <si>
    <t>Gladiator</t>
  </si>
  <si>
    <t>Titanic</t>
  </si>
  <si>
    <t>It's a Wonderful Life</t>
  </si>
  <si>
    <t>Avatar</t>
  </si>
  <si>
    <t>The Godfather</t>
  </si>
  <si>
    <t>The Dark Knight</t>
  </si>
  <si>
    <t>Schindler's List</t>
  </si>
  <si>
    <t>Jurassic Park</t>
  </si>
  <si>
    <t>Parasite</t>
  </si>
  <si>
    <t>Avengers: Endgame</t>
  </si>
  <si>
    <t>Avengers: Infinity War</t>
  </si>
  <si>
    <t>Pather Panchali</t>
  </si>
  <si>
    <t>Taare Zameen Par</t>
  </si>
  <si>
    <t>Munna Bhai M.B.B.S.</t>
  </si>
  <si>
    <t>PK</t>
  </si>
  <si>
    <t>Sanju</t>
  </si>
  <si>
    <t>Pushpa: The Rise - Part 1</t>
  </si>
  <si>
    <t>RRR</t>
  </si>
  <si>
    <t>Baahubali: The Beginning</t>
  </si>
  <si>
    <t>The Kashmir Files</t>
  </si>
  <si>
    <t>Bajrangi Bhaijaan</t>
  </si>
  <si>
    <t>Captain America: The First Avenger</t>
  </si>
  <si>
    <t>Captain America: The Winter Soldier</t>
  </si>
  <si>
    <t>Race 3</t>
  </si>
  <si>
    <t>Shershaah</t>
  </si>
  <si>
    <t>others</t>
  </si>
  <si>
    <t>Hombale Films</t>
  </si>
  <si>
    <t>Government of West Bengal</t>
  </si>
  <si>
    <t>revenue in INR</t>
  </si>
  <si>
    <t xml:space="preserve">   profit</t>
  </si>
  <si>
    <t>industry</t>
  </si>
  <si>
    <t>release_year</t>
  </si>
  <si>
    <t>Bollywood</t>
  </si>
  <si>
    <t>Hollywood</t>
  </si>
  <si>
    <t xml:space="preserve">budget </t>
  </si>
  <si>
    <t>Row Labels</t>
  </si>
  <si>
    <t>Grand Total</t>
  </si>
  <si>
    <t>movie_title</t>
  </si>
  <si>
    <t>Sum of    profit</t>
  </si>
  <si>
    <t>Count of    profit</t>
  </si>
  <si>
    <t>Sum of revenue</t>
  </si>
  <si>
    <t>Total Movies</t>
  </si>
  <si>
    <t>Total Profit</t>
  </si>
  <si>
    <t>Total Revenue</t>
  </si>
  <si>
    <t>Language</t>
  </si>
  <si>
    <t>Year of Reveue</t>
  </si>
  <si>
    <t>Sum of imdb_rating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</si>
</sst>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theme="1"/>
      <name val="Calibri"/>
      <family val="2"/>
      <scheme val="minor"/>
    </font>
  </fonts>
  <fills count="3">
    <fill>
      <patternFill patternType="none"/>
    </fill>
    <fill>
      <patternFill patternType="gray125"/>
    </fill>
    <fill>
      <patternFill patternType="solid">
        <fgColor theme="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7">
    <xf numFmtId="0" fontId="0" fillId="0" borderId="0" xfId="0"/>
    <xf numFmtId="0" fontId="0" fillId="0" borderId="1" xfId="0" applyBorder="1"/>
    <xf numFmtId="2" fontId="0" fillId="0" borderId="1" xfId="0" applyNumberFormat="1" applyBorder="1"/>
    <xf numFmtId="164" fontId="0" fillId="0" borderId="0" xfId="0" applyNumberFormat="1"/>
    <xf numFmtId="0" fontId="0" fillId="0" borderId="2" xfId="0" applyBorder="1"/>
    <xf numFmtId="0" fontId="0" fillId="0" borderId="3" xfId="0" applyBorder="1"/>
    <xf numFmtId="0" fontId="0" fillId="0" borderId="7" xfId="0" applyBorder="1"/>
    <xf numFmtId="0" fontId="0" fillId="0" borderId="8" xfId="0" applyBorder="1"/>
    <xf numFmtId="0" fontId="0" fillId="0" borderId="9" xfId="0" applyBorder="1"/>
    <xf numFmtId="0" fontId="0" fillId="2" borderId="4" xfId="0" applyFill="1" applyBorder="1"/>
    <xf numFmtId="2" fontId="0" fillId="2" borderId="5" xfId="0" applyNumberFormat="1" applyFill="1" applyBorder="1"/>
    <xf numFmtId="0" fontId="0" fillId="2" borderId="5" xfId="0" applyFill="1" applyBorder="1"/>
    <xf numFmtId="0" fontId="0" fillId="2" borderId="6" xfId="0" applyFill="1" applyBorder="1"/>
    <xf numFmtId="2" fontId="0" fillId="0" borderId="8" xfId="0" applyNumberForma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9">
    <dxf>
      <numFmt numFmtId="0" formatCode="General"/>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9"/>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9"/>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9"/>
        </patternFill>
      </fill>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2.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 DB updated - Copy - Copy.xlsx]Sheet1!PivotTable4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Sheet1!$K$4</c:f>
              <c:strCache>
                <c:ptCount val="1"/>
                <c:pt idx="0">
                  <c:v>Total</c:v>
                </c:pt>
              </c:strCache>
            </c:strRef>
          </c:tx>
          <c:spPr>
            <a:solidFill>
              <a:schemeClr val="accent1"/>
            </a:solidFill>
            <a:ln>
              <a:noFill/>
            </a:ln>
            <a:effectLst/>
            <a:sp3d/>
          </c:spPr>
          <c:invertIfNegative val="0"/>
          <c:cat>
            <c:strRef>
              <c:f>Sheet1!$J$5:$J$10</c:f>
              <c:strCache>
                <c:ptCount val="5"/>
                <c:pt idx="0">
                  <c:v>Bengali</c:v>
                </c:pt>
                <c:pt idx="1">
                  <c:v>English</c:v>
                </c:pt>
                <c:pt idx="2">
                  <c:v>Hindi</c:v>
                </c:pt>
                <c:pt idx="3">
                  <c:v>Kannada</c:v>
                </c:pt>
                <c:pt idx="4">
                  <c:v>Telugu</c:v>
                </c:pt>
              </c:strCache>
            </c:strRef>
          </c:cat>
          <c:val>
            <c:numRef>
              <c:f>Sheet1!$K$5:$K$10</c:f>
              <c:numCache>
                <c:formatCode>General</c:formatCode>
                <c:ptCount val="5"/>
                <c:pt idx="0">
                  <c:v>30</c:v>
                </c:pt>
                <c:pt idx="1">
                  <c:v>1395748.8</c:v>
                </c:pt>
                <c:pt idx="2">
                  <c:v>29657.3</c:v>
                </c:pt>
                <c:pt idx="3">
                  <c:v>11.5</c:v>
                </c:pt>
                <c:pt idx="4">
                  <c:v>12.8</c:v>
                </c:pt>
              </c:numCache>
            </c:numRef>
          </c:val>
          <c:extLst>
            <c:ext xmlns:c16="http://schemas.microsoft.com/office/drawing/2014/chart" uri="{C3380CC4-5D6E-409C-BE32-E72D297353CC}">
              <c16:uniqueId val="{00000000-49C3-4914-A763-B592B52D6874}"/>
            </c:ext>
          </c:extLst>
        </c:ser>
        <c:dLbls>
          <c:showLegendKey val="0"/>
          <c:showVal val="0"/>
          <c:showCatName val="0"/>
          <c:showSerName val="0"/>
          <c:showPercent val="0"/>
          <c:showBubbleSize val="0"/>
        </c:dLbls>
        <c:gapWidth val="150"/>
        <c:shape val="box"/>
        <c:axId val="1953309279"/>
        <c:axId val="1953306879"/>
        <c:axId val="161938111"/>
      </c:bar3DChart>
      <c:catAx>
        <c:axId val="1953309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306879"/>
        <c:crosses val="autoZero"/>
        <c:auto val="1"/>
        <c:lblAlgn val="ctr"/>
        <c:lblOffset val="100"/>
        <c:noMultiLvlLbl val="0"/>
      </c:catAx>
      <c:valAx>
        <c:axId val="195330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309279"/>
        <c:crosses val="autoZero"/>
        <c:crossBetween val="between"/>
      </c:valAx>
      <c:serAx>
        <c:axId val="16193811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30687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 DB updated - Copy - Copy.xlsx]Sheet1!PivotTable6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Sheet1!$K$13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8C3-4E91-A857-07E09573EA5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8C3-4E91-A857-07E09573EA5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8C3-4E91-A857-07E09573EA5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8C3-4E91-A857-07E09573EA5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8C3-4E91-A857-07E09573EA5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8C3-4E91-A857-07E09573EA5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8C3-4E91-A857-07E09573EA5C}"/>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A8C3-4E91-A857-07E09573EA5C}"/>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A8C3-4E91-A857-07E09573EA5C}"/>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A8C3-4E91-A857-07E09573EA5C}"/>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A8C3-4E91-A857-07E09573EA5C}"/>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A8C3-4E91-A857-07E09573EA5C}"/>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A8C3-4E91-A857-07E09573EA5C}"/>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A8C3-4E91-A857-07E09573EA5C}"/>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A8C3-4E91-A857-07E09573EA5C}"/>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A8C3-4E91-A857-07E09573EA5C}"/>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A8C3-4E91-A857-07E09573EA5C}"/>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A8C3-4E91-A857-07E09573EA5C}"/>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A8C3-4E91-A857-07E09573EA5C}"/>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A8C3-4E91-A857-07E09573EA5C}"/>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A8C3-4E91-A857-07E09573EA5C}"/>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A8C3-4E91-A857-07E09573EA5C}"/>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A8C3-4E91-A857-07E09573EA5C}"/>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A8C3-4E91-A857-07E09573EA5C}"/>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A8C3-4E91-A857-07E09573EA5C}"/>
              </c:ext>
            </c:extLst>
          </c:dPt>
          <c:cat>
            <c:strRef>
              <c:f>Sheet1!$J$14:$J$39</c:f>
              <c:strCache>
                <c:ptCount val="25"/>
                <c:pt idx="0">
                  <c:v>1946</c:v>
                </c:pt>
                <c:pt idx="1">
                  <c:v>1955</c:v>
                </c:pt>
                <c:pt idx="2">
                  <c:v>1972</c:v>
                </c:pt>
                <c:pt idx="3">
                  <c:v>1975</c:v>
                </c:pt>
                <c:pt idx="4">
                  <c:v>1993</c:v>
                </c:pt>
                <c:pt idx="5">
                  <c:v>1994</c:v>
                </c:pt>
                <c:pt idx="6">
                  <c:v>1995</c:v>
                </c:pt>
                <c:pt idx="7">
                  <c:v>1997</c:v>
                </c:pt>
                <c:pt idx="8">
                  <c:v>2000</c:v>
                </c:pt>
                <c:pt idx="9">
                  <c:v>2001</c:v>
                </c:pt>
                <c:pt idx="10">
                  <c:v>2003</c:v>
                </c:pt>
                <c:pt idx="11">
                  <c:v>2006</c:v>
                </c:pt>
                <c:pt idx="12">
                  <c:v>2007</c:v>
                </c:pt>
                <c:pt idx="13">
                  <c:v>2008</c:v>
                </c:pt>
                <c:pt idx="14">
                  <c:v>2009</c:v>
                </c:pt>
                <c:pt idx="15">
                  <c:v>2010</c:v>
                </c:pt>
                <c:pt idx="16">
                  <c:v>2011</c:v>
                </c:pt>
                <c:pt idx="17">
                  <c:v>2013</c:v>
                </c:pt>
                <c:pt idx="18">
                  <c:v>2014</c:v>
                </c:pt>
                <c:pt idx="19">
                  <c:v>2015</c:v>
                </c:pt>
                <c:pt idx="20">
                  <c:v>2017</c:v>
                </c:pt>
                <c:pt idx="21">
                  <c:v>2018</c:v>
                </c:pt>
                <c:pt idx="22">
                  <c:v>2019</c:v>
                </c:pt>
                <c:pt idx="23">
                  <c:v>2021</c:v>
                </c:pt>
                <c:pt idx="24">
                  <c:v>2022</c:v>
                </c:pt>
              </c:strCache>
            </c:strRef>
          </c:cat>
          <c:val>
            <c:numRef>
              <c:f>Sheet1!$K$14:$K$39</c:f>
              <c:numCache>
                <c:formatCode>General</c:formatCode>
                <c:ptCount val="25"/>
                <c:pt idx="0">
                  <c:v>297</c:v>
                </c:pt>
                <c:pt idx="1">
                  <c:v>100</c:v>
                </c:pt>
                <c:pt idx="2">
                  <c:v>26190</c:v>
                </c:pt>
                <c:pt idx="3">
                  <c:v>0</c:v>
                </c:pt>
                <c:pt idx="4">
                  <c:v>123138</c:v>
                </c:pt>
                <c:pt idx="5">
                  <c:v>6597</c:v>
                </c:pt>
                <c:pt idx="6">
                  <c:v>2000</c:v>
                </c:pt>
                <c:pt idx="7">
                  <c:v>198180</c:v>
                </c:pt>
                <c:pt idx="8">
                  <c:v>41445</c:v>
                </c:pt>
                <c:pt idx="9">
                  <c:v>1360</c:v>
                </c:pt>
                <c:pt idx="10">
                  <c:v>410</c:v>
                </c:pt>
                <c:pt idx="11">
                  <c:v>27639.000000000004</c:v>
                </c:pt>
                <c:pt idx="12">
                  <c:v>1350</c:v>
                </c:pt>
                <c:pt idx="13">
                  <c:v>90540</c:v>
                </c:pt>
                <c:pt idx="14">
                  <c:v>260230</c:v>
                </c:pt>
                <c:pt idx="15">
                  <c:v>0</c:v>
                </c:pt>
                <c:pt idx="16">
                  <c:v>33354</c:v>
                </c:pt>
                <c:pt idx="17">
                  <c:v>58031.999999999993</c:v>
                </c:pt>
                <c:pt idx="18">
                  <c:v>135998</c:v>
                </c:pt>
                <c:pt idx="19">
                  <c:v>11700</c:v>
                </c:pt>
                <c:pt idx="20">
                  <c:v>76860</c:v>
                </c:pt>
                <c:pt idx="21">
                  <c:v>184329</c:v>
                </c:pt>
                <c:pt idx="22">
                  <c:v>275499</c:v>
                </c:pt>
                <c:pt idx="23">
                  <c:v>953.6</c:v>
                </c:pt>
                <c:pt idx="24">
                  <c:v>149665.5</c:v>
                </c:pt>
              </c:numCache>
            </c:numRef>
          </c:val>
          <c:extLst>
            <c:ext xmlns:c16="http://schemas.microsoft.com/office/drawing/2014/chart" uri="{C3380CC4-5D6E-409C-BE32-E72D297353CC}">
              <c16:uniqueId val="{00000000-F89B-4650-93B6-73566A47E03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 DB updated - Copy - Copy.xlsx]Sheet1!PivotTable4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91426071741033"/>
          <c:y val="0.16143299795858848"/>
          <c:w val="0.7050319335083115"/>
          <c:h val="0.63959572761738115"/>
        </c:manualLayout>
      </c:layout>
      <c:bar3DChart>
        <c:barDir val="col"/>
        <c:grouping val="standard"/>
        <c:varyColors val="0"/>
        <c:ser>
          <c:idx val="0"/>
          <c:order val="0"/>
          <c:tx>
            <c:strRef>
              <c:f>Sheet1!$K$4</c:f>
              <c:strCache>
                <c:ptCount val="1"/>
                <c:pt idx="0">
                  <c:v>Total</c:v>
                </c:pt>
              </c:strCache>
            </c:strRef>
          </c:tx>
          <c:spPr>
            <a:solidFill>
              <a:schemeClr val="accent1"/>
            </a:solidFill>
            <a:ln>
              <a:noFill/>
            </a:ln>
            <a:effectLst/>
            <a:sp3d/>
          </c:spPr>
          <c:invertIfNegative val="0"/>
          <c:cat>
            <c:strRef>
              <c:f>Sheet1!$J$5:$J$10</c:f>
              <c:strCache>
                <c:ptCount val="5"/>
                <c:pt idx="0">
                  <c:v>Bengali</c:v>
                </c:pt>
                <c:pt idx="1">
                  <c:v>English</c:v>
                </c:pt>
                <c:pt idx="2">
                  <c:v>Hindi</c:v>
                </c:pt>
                <c:pt idx="3">
                  <c:v>Kannada</c:v>
                </c:pt>
                <c:pt idx="4">
                  <c:v>Telugu</c:v>
                </c:pt>
              </c:strCache>
            </c:strRef>
          </c:cat>
          <c:val>
            <c:numRef>
              <c:f>Sheet1!$K$5:$K$10</c:f>
              <c:numCache>
                <c:formatCode>General</c:formatCode>
                <c:ptCount val="5"/>
                <c:pt idx="0">
                  <c:v>30</c:v>
                </c:pt>
                <c:pt idx="1">
                  <c:v>1395748.8</c:v>
                </c:pt>
                <c:pt idx="2">
                  <c:v>29657.3</c:v>
                </c:pt>
                <c:pt idx="3">
                  <c:v>11.5</c:v>
                </c:pt>
                <c:pt idx="4">
                  <c:v>12.8</c:v>
                </c:pt>
              </c:numCache>
            </c:numRef>
          </c:val>
          <c:extLst>
            <c:ext xmlns:c16="http://schemas.microsoft.com/office/drawing/2014/chart" uri="{C3380CC4-5D6E-409C-BE32-E72D297353CC}">
              <c16:uniqueId val="{00000000-16C7-4F12-BF37-9730FB1A97AB}"/>
            </c:ext>
          </c:extLst>
        </c:ser>
        <c:dLbls>
          <c:showLegendKey val="0"/>
          <c:showVal val="0"/>
          <c:showCatName val="0"/>
          <c:showSerName val="0"/>
          <c:showPercent val="0"/>
          <c:showBubbleSize val="0"/>
        </c:dLbls>
        <c:gapWidth val="150"/>
        <c:shape val="box"/>
        <c:axId val="1953309279"/>
        <c:axId val="1953306879"/>
        <c:axId val="161938111"/>
      </c:bar3DChart>
      <c:catAx>
        <c:axId val="1953309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306879"/>
        <c:crosses val="autoZero"/>
        <c:auto val="1"/>
        <c:lblAlgn val="ctr"/>
        <c:lblOffset val="100"/>
        <c:noMultiLvlLbl val="0"/>
      </c:catAx>
      <c:valAx>
        <c:axId val="195330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309279"/>
        <c:crosses val="autoZero"/>
        <c:crossBetween val="between"/>
      </c:valAx>
      <c:serAx>
        <c:axId val="16193811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306879"/>
        <c:crosses val="autoZero"/>
      </c:serAx>
      <c:spPr>
        <a:solidFill>
          <a:schemeClr val="accent1">
            <a:lumMod val="60000"/>
            <a:lumOff val="40000"/>
          </a:schemeClr>
        </a:solidFill>
        <a:ln>
          <a:solidFill>
            <a:schemeClr val="accent1">
              <a:shade val="1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 DB updated - Copy - Copy.xlsx]Sheet1!PivotTable9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Sheet1!$U$4</c:f>
              <c:strCache>
                <c:ptCount val="1"/>
                <c:pt idx="0">
                  <c:v>Total</c:v>
                </c:pt>
              </c:strCache>
            </c:strRef>
          </c:tx>
          <c:spPr>
            <a:solidFill>
              <a:schemeClr val="accent1"/>
            </a:solidFill>
            <a:ln>
              <a:noFill/>
            </a:ln>
            <a:effectLst/>
          </c:spPr>
          <c:invertIfNegative val="0"/>
          <c:cat>
            <c:strRef>
              <c:f>Sheet1!$T$5:$T$7</c:f>
              <c:strCache>
                <c:ptCount val="2"/>
                <c:pt idx="0">
                  <c:v>Bollywood</c:v>
                </c:pt>
                <c:pt idx="1">
                  <c:v>Hollywood</c:v>
                </c:pt>
              </c:strCache>
            </c:strRef>
          </c:cat>
          <c:val>
            <c:numRef>
              <c:f>Sheet1!$U$5:$U$7</c:f>
              <c:numCache>
                <c:formatCode>General</c:formatCode>
                <c:ptCount val="2"/>
                <c:pt idx="0">
                  <c:v>29711.600000000002</c:v>
                </c:pt>
                <c:pt idx="1">
                  <c:v>1395748.8</c:v>
                </c:pt>
              </c:numCache>
            </c:numRef>
          </c:val>
          <c:extLst>
            <c:ext xmlns:c16="http://schemas.microsoft.com/office/drawing/2014/chart" uri="{C3380CC4-5D6E-409C-BE32-E72D297353CC}">
              <c16:uniqueId val="{00000002-72B2-40C7-938C-345BA2BA8EDE}"/>
            </c:ext>
          </c:extLst>
        </c:ser>
        <c:dLbls>
          <c:showLegendKey val="0"/>
          <c:showVal val="0"/>
          <c:showCatName val="0"/>
          <c:showSerName val="0"/>
          <c:showPercent val="0"/>
          <c:showBubbleSize val="0"/>
        </c:dLbls>
        <c:gapWidth val="182"/>
        <c:axId val="101111536"/>
        <c:axId val="48109104"/>
      </c:barChart>
      <c:catAx>
        <c:axId val="101111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09104"/>
        <c:crosses val="autoZero"/>
        <c:auto val="1"/>
        <c:lblAlgn val="ctr"/>
        <c:lblOffset val="100"/>
        <c:noMultiLvlLbl val="0"/>
      </c:catAx>
      <c:valAx>
        <c:axId val="48109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1153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 DB updated - Copy - Copy.xlsx]Sheet1!PivotTable5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Sheet1!$N$4</c:f>
              <c:strCache>
                <c:ptCount val="1"/>
                <c:pt idx="0">
                  <c:v>Total</c:v>
                </c:pt>
              </c:strCache>
            </c:strRef>
          </c:tx>
          <c:spPr>
            <a:solidFill>
              <a:schemeClr val="accent1"/>
            </a:solidFill>
            <a:ln>
              <a:noFill/>
            </a:ln>
            <a:effectLst/>
          </c:spPr>
          <c:invertIfNegative val="0"/>
          <c:cat>
            <c:strRef>
              <c:f>Sheet1!$M$5:$M$18</c:f>
              <c:strCache>
                <c:ptCount val="13"/>
                <c:pt idx="0">
                  <c:v>The Godfather</c:v>
                </c:pt>
                <c:pt idx="1">
                  <c:v>The Dark Knight</c:v>
                </c:pt>
                <c:pt idx="2">
                  <c:v>Shershaah</c:v>
                </c:pt>
                <c:pt idx="3">
                  <c:v>Schindler's List</c:v>
                </c:pt>
                <c:pt idx="4">
                  <c:v>Parasite</c:v>
                </c:pt>
                <c:pt idx="5">
                  <c:v>K.G.F: Chapter 2</c:v>
                </c:pt>
                <c:pt idx="6">
                  <c:v>It's a Wonderful Life</c:v>
                </c:pt>
                <c:pt idx="7">
                  <c:v>Interstellar</c:v>
                </c:pt>
                <c:pt idx="8">
                  <c:v>Inception</c:v>
                </c:pt>
                <c:pt idx="9">
                  <c:v>Gladiator</c:v>
                </c:pt>
                <c:pt idx="10">
                  <c:v>Avengers: Infinity War</c:v>
                </c:pt>
                <c:pt idx="11">
                  <c:v>Avengers: Endgame</c:v>
                </c:pt>
                <c:pt idx="12">
                  <c:v>3 Idiots</c:v>
                </c:pt>
              </c:strCache>
            </c:strRef>
          </c:cat>
          <c:val>
            <c:numRef>
              <c:f>Sheet1!$N$5:$N$18</c:f>
              <c:numCache>
                <c:formatCode>General</c:formatCode>
                <c:ptCount val="13"/>
                <c:pt idx="0">
                  <c:v>9.1999999999999993</c:v>
                </c:pt>
                <c:pt idx="1">
                  <c:v>9</c:v>
                </c:pt>
                <c:pt idx="2">
                  <c:v>8.4</c:v>
                </c:pt>
                <c:pt idx="3">
                  <c:v>9</c:v>
                </c:pt>
                <c:pt idx="4">
                  <c:v>8.5</c:v>
                </c:pt>
                <c:pt idx="5">
                  <c:v>8.4</c:v>
                </c:pt>
                <c:pt idx="6">
                  <c:v>8.6</c:v>
                </c:pt>
                <c:pt idx="7">
                  <c:v>8.6</c:v>
                </c:pt>
                <c:pt idx="8">
                  <c:v>8.8000000000000007</c:v>
                </c:pt>
                <c:pt idx="9">
                  <c:v>8.5</c:v>
                </c:pt>
                <c:pt idx="10">
                  <c:v>8.4</c:v>
                </c:pt>
                <c:pt idx="11">
                  <c:v>8.4</c:v>
                </c:pt>
                <c:pt idx="12">
                  <c:v>8.4</c:v>
                </c:pt>
              </c:numCache>
            </c:numRef>
          </c:val>
          <c:extLst>
            <c:ext xmlns:c16="http://schemas.microsoft.com/office/drawing/2014/chart" uri="{C3380CC4-5D6E-409C-BE32-E72D297353CC}">
              <c16:uniqueId val="{00000000-398E-4B37-ABCB-6E996D35CA84}"/>
            </c:ext>
          </c:extLst>
        </c:ser>
        <c:dLbls>
          <c:showLegendKey val="0"/>
          <c:showVal val="0"/>
          <c:showCatName val="0"/>
          <c:showSerName val="0"/>
          <c:showPercent val="0"/>
          <c:showBubbleSize val="0"/>
        </c:dLbls>
        <c:gapWidth val="182"/>
        <c:axId val="101111536"/>
        <c:axId val="48109104"/>
      </c:barChart>
      <c:catAx>
        <c:axId val="101111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09104"/>
        <c:crosses val="autoZero"/>
        <c:auto val="1"/>
        <c:lblAlgn val="ctr"/>
        <c:lblOffset val="100"/>
        <c:noMultiLvlLbl val="0"/>
      </c:catAx>
      <c:valAx>
        <c:axId val="48109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1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 DB updated - Copy - Copy.xlsx]Sheet1!PivotTable10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Sheet1!$N$28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A3-4B7E-ACCB-C1C9AF524F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A3-4B7E-ACCB-C1C9AF524F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A3-4B7E-ACCB-C1C9AF524F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A3-4B7E-ACCB-C1C9AF524F6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BA3-4B7E-ACCB-C1C9AF524F6B}"/>
              </c:ext>
            </c:extLst>
          </c:dPt>
          <c:cat>
            <c:strRef>
              <c:f>Sheet1!$M$29:$M$34</c:f>
              <c:strCache>
                <c:ptCount val="5"/>
                <c:pt idx="0">
                  <c:v>20th Century Fox</c:v>
                </c:pt>
                <c:pt idx="1">
                  <c:v>Marvel Studios</c:v>
                </c:pt>
                <c:pt idx="2">
                  <c:v>Paramount Pictures</c:v>
                </c:pt>
                <c:pt idx="3">
                  <c:v>Syncopy</c:v>
                </c:pt>
                <c:pt idx="4">
                  <c:v>Universal Pictures</c:v>
                </c:pt>
              </c:strCache>
            </c:strRef>
          </c:cat>
          <c:val>
            <c:numRef>
              <c:f>Sheet1!$N$29:$N$34</c:f>
              <c:numCache>
                <c:formatCode>General</c:formatCode>
                <c:ptCount val="5"/>
                <c:pt idx="0">
                  <c:v>234900</c:v>
                </c:pt>
                <c:pt idx="1">
                  <c:v>635931</c:v>
                </c:pt>
                <c:pt idx="2">
                  <c:v>205722</c:v>
                </c:pt>
                <c:pt idx="3">
                  <c:v>73890</c:v>
                </c:pt>
                <c:pt idx="4">
                  <c:v>147663</c:v>
                </c:pt>
              </c:numCache>
            </c:numRef>
          </c:val>
          <c:extLst>
            <c:ext xmlns:c16="http://schemas.microsoft.com/office/drawing/2014/chart" uri="{C3380CC4-5D6E-409C-BE32-E72D297353CC}">
              <c16:uniqueId val="{0000000A-EBA3-4B7E-ACCB-C1C9AF524F6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3</xdr:col>
      <xdr:colOff>758246</xdr:colOff>
      <xdr:row>46</xdr:row>
      <xdr:rowOff>174696</xdr:rowOff>
    </xdr:from>
    <xdr:to>
      <xdr:col>3</xdr:col>
      <xdr:colOff>2582917</xdr:colOff>
      <xdr:row>60</xdr:row>
      <xdr:rowOff>51998</xdr:rowOff>
    </xdr:to>
    <mc:AlternateContent xmlns:mc="http://schemas.openxmlformats.org/markup-compatibility/2006" xmlns:a14="http://schemas.microsoft.com/office/drawing/2010/main">
      <mc:Choice Requires="a14">
        <xdr:graphicFrame macro="">
          <xdr:nvGraphicFramePr>
            <xdr:cNvPr id="2" name="studio">
              <a:extLst>
                <a:ext uri="{FF2B5EF4-FFF2-40B4-BE49-F238E27FC236}">
                  <a16:creationId xmlns:a16="http://schemas.microsoft.com/office/drawing/2014/main" id="{FC9E2E46-46AF-4217-8A4D-A5464EDAC092}"/>
                </a:ext>
              </a:extLst>
            </xdr:cNvPr>
            <xdr:cNvGraphicFramePr/>
          </xdr:nvGraphicFramePr>
          <xdr:xfrm>
            <a:off x="0" y="0"/>
            <a:ext cx="0" cy="0"/>
          </xdr:xfrm>
          <a:graphic>
            <a:graphicData uri="http://schemas.microsoft.com/office/drawing/2010/slicer">
              <sle:slicer xmlns:sle="http://schemas.microsoft.com/office/drawing/2010/slicer" name="studio"/>
            </a:graphicData>
          </a:graphic>
        </xdr:graphicFrame>
      </mc:Choice>
      <mc:Fallback xmlns="">
        <xdr:sp macro="" textlink="">
          <xdr:nvSpPr>
            <xdr:cNvPr id="0" name=""/>
            <xdr:cNvSpPr>
              <a:spLocks noTextEdit="1"/>
            </xdr:cNvSpPr>
          </xdr:nvSpPr>
          <xdr:spPr>
            <a:xfrm>
              <a:off x="6249901" y="8635524"/>
              <a:ext cx="1824671" cy="24523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2831224</xdr:colOff>
      <xdr:row>47</xdr:row>
      <xdr:rowOff>1313</xdr:rowOff>
    </xdr:from>
    <xdr:to>
      <xdr:col>6</xdr:col>
      <xdr:colOff>2134913</xdr:colOff>
      <xdr:row>61</xdr:row>
      <xdr:rowOff>169479</xdr:rowOff>
    </xdr:to>
    <xdr:graphicFrame macro="">
      <xdr:nvGraphicFramePr>
        <xdr:cNvPr id="3" name="Chart 2">
          <a:extLst>
            <a:ext uri="{FF2B5EF4-FFF2-40B4-BE49-F238E27FC236}">
              <a16:creationId xmlns:a16="http://schemas.microsoft.com/office/drawing/2014/main" id="{0A4C3910-CFA9-08B9-0539-EBE20FA7A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769672</xdr:colOff>
      <xdr:row>47</xdr:row>
      <xdr:rowOff>64639</xdr:rowOff>
    </xdr:from>
    <xdr:to>
      <xdr:col>11</xdr:col>
      <xdr:colOff>1115751</xdr:colOff>
      <xdr:row>60</xdr:row>
      <xdr:rowOff>140511</xdr:rowOff>
    </xdr:to>
    <mc:AlternateContent xmlns:mc="http://schemas.openxmlformats.org/markup-compatibility/2006" xmlns:a14="http://schemas.microsoft.com/office/drawing/2010/main">
      <mc:Choice Requires="a14">
        <xdr:graphicFrame macro="">
          <xdr:nvGraphicFramePr>
            <xdr:cNvPr id="4" name="industry">
              <a:extLst>
                <a:ext uri="{FF2B5EF4-FFF2-40B4-BE49-F238E27FC236}">
                  <a16:creationId xmlns:a16="http://schemas.microsoft.com/office/drawing/2014/main" id="{4FDC2F09-0E65-AB05-6D6E-5088EC2330FE}"/>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8046051" y="8709398"/>
              <a:ext cx="1847088"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2463362</xdr:colOff>
      <xdr:row>47</xdr:row>
      <xdr:rowOff>14451</xdr:rowOff>
    </xdr:from>
    <xdr:to>
      <xdr:col>10</xdr:col>
      <xdr:colOff>518949</xdr:colOff>
      <xdr:row>61</xdr:row>
      <xdr:rowOff>182617</xdr:rowOff>
    </xdr:to>
    <xdr:graphicFrame macro="">
      <xdr:nvGraphicFramePr>
        <xdr:cNvPr id="6" name="Chart 5">
          <a:extLst>
            <a:ext uri="{FF2B5EF4-FFF2-40B4-BE49-F238E27FC236}">
              <a16:creationId xmlns:a16="http://schemas.microsoft.com/office/drawing/2014/main" id="{FDB9241C-48C2-769B-A69A-DE5EA4088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782758</xdr:colOff>
      <xdr:row>10</xdr:row>
      <xdr:rowOff>51501</xdr:rowOff>
    </xdr:from>
    <xdr:to>
      <xdr:col>15</xdr:col>
      <xdr:colOff>864214</xdr:colOff>
      <xdr:row>23</xdr:row>
      <xdr:rowOff>127372</xdr:rowOff>
    </xdr:to>
    <mc:AlternateContent xmlns:mc="http://schemas.openxmlformats.org/markup-compatibility/2006" xmlns:a14="http://schemas.microsoft.com/office/drawing/2010/main">
      <mc:Choice Requires="a14">
        <xdr:graphicFrame macro="">
          <xdr:nvGraphicFramePr>
            <xdr:cNvPr id="7" name="Language">
              <a:extLst>
                <a:ext uri="{FF2B5EF4-FFF2-40B4-BE49-F238E27FC236}">
                  <a16:creationId xmlns:a16="http://schemas.microsoft.com/office/drawing/2014/main" id="{A2C57C6C-B107-4E0A-C265-061B903FA871}"/>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mlns="">
        <xdr:sp macro="" textlink="">
          <xdr:nvSpPr>
            <xdr:cNvPr id="0" name=""/>
            <xdr:cNvSpPr>
              <a:spLocks noTextEdit="1"/>
            </xdr:cNvSpPr>
          </xdr:nvSpPr>
          <xdr:spPr>
            <a:xfrm>
              <a:off x="25823655" y="189081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401054</xdr:colOff>
      <xdr:row>3</xdr:row>
      <xdr:rowOff>183814</xdr:rowOff>
    </xdr:from>
    <xdr:to>
      <xdr:col>21</xdr:col>
      <xdr:colOff>225136</xdr:colOff>
      <xdr:row>52</xdr:row>
      <xdr:rowOff>34635</xdr:rowOff>
    </xdr:to>
    <xdr:sp macro="" textlink="">
      <xdr:nvSpPr>
        <xdr:cNvPr id="2" name="Rectangle: Rounded Corners 1">
          <a:extLst>
            <a:ext uri="{FF2B5EF4-FFF2-40B4-BE49-F238E27FC236}">
              <a16:creationId xmlns:a16="http://schemas.microsoft.com/office/drawing/2014/main" id="{0EE3346B-20DE-BAED-8464-18DC507A563C}"/>
            </a:ext>
          </a:extLst>
        </xdr:cNvPr>
        <xdr:cNvSpPr/>
      </xdr:nvSpPr>
      <xdr:spPr>
        <a:xfrm flipV="1">
          <a:off x="401054" y="755314"/>
          <a:ext cx="12552946" cy="9185321"/>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367671</xdr:colOff>
      <xdr:row>5</xdr:row>
      <xdr:rowOff>155147</xdr:rowOff>
    </xdr:from>
    <xdr:to>
      <xdr:col>20</xdr:col>
      <xdr:colOff>103909</xdr:colOff>
      <xdr:row>10</xdr:row>
      <xdr:rowOff>76922</xdr:rowOff>
    </xdr:to>
    <xdr:sp macro="" textlink="">
      <xdr:nvSpPr>
        <xdr:cNvPr id="3" name="Rectangle: Rounded Corners 2">
          <a:extLst>
            <a:ext uri="{FF2B5EF4-FFF2-40B4-BE49-F238E27FC236}">
              <a16:creationId xmlns:a16="http://schemas.microsoft.com/office/drawing/2014/main" id="{46B341C2-9EEE-31FE-A3E9-B7F2929DABAA}"/>
            </a:ext>
          </a:extLst>
        </xdr:cNvPr>
        <xdr:cNvSpPr/>
      </xdr:nvSpPr>
      <xdr:spPr>
        <a:xfrm>
          <a:off x="973807" y="1107647"/>
          <a:ext cx="11252829" cy="87427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15902</xdr:colOff>
      <xdr:row>6</xdr:row>
      <xdr:rowOff>109980</xdr:rowOff>
    </xdr:from>
    <xdr:to>
      <xdr:col>18</xdr:col>
      <xdr:colOff>127415</xdr:colOff>
      <xdr:row>10</xdr:row>
      <xdr:rowOff>15711</xdr:rowOff>
    </xdr:to>
    <xdr:sp macro="" textlink="">
      <xdr:nvSpPr>
        <xdr:cNvPr id="4" name="TextBox 3">
          <a:extLst>
            <a:ext uri="{FF2B5EF4-FFF2-40B4-BE49-F238E27FC236}">
              <a16:creationId xmlns:a16="http://schemas.microsoft.com/office/drawing/2014/main" id="{EEAA3179-2FE2-5EE2-06E1-0CD30AC62B61}"/>
            </a:ext>
          </a:extLst>
        </xdr:cNvPr>
        <xdr:cNvSpPr txBox="1"/>
      </xdr:nvSpPr>
      <xdr:spPr>
        <a:xfrm>
          <a:off x="2466871" y="1194062"/>
          <a:ext cx="8689905" cy="628453"/>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cap="none" spc="0">
              <a:ln w="22225">
                <a:solidFill>
                  <a:schemeClr val="tx1">
                    <a:lumMod val="95000"/>
                    <a:lumOff val="5000"/>
                  </a:schemeClr>
                </a:solidFill>
                <a:prstDash val="solid"/>
              </a:ln>
              <a:solidFill>
                <a:schemeClr val="accent6">
                  <a:lumMod val="50000"/>
                </a:schemeClr>
              </a:solidFill>
              <a:effectLst/>
            </a:rPr>
            <a:t>MOVIE</a:t>
          </a:r>
          <a:r>
            <a:rPr lang="en-IN" sz="3200" baseline="0">
              <a:solidFill>
                <a:schemeClr val="accent6">
                  <a:lumMod val="50000"/>
                </a:schemeClr>
              </a:solidFill>
            </a:rPr>
            <a:t> </a:t>
          </a:r>
          <a:r>
            <a:rPr lang="en-IN" sz="3200" b="1" cap="none" spc="0" baseline="0">
              <a:ln w="22225">
                <a:solidFill>
                  <a:schemeClr val="tx1">
                    <a:lumMod val="95000"/>
                    <a:lumOff val="5000"/>
                  </a:schemeClr>
                </a:solidFill>
                <a:prstDash val="solid"/>
              </a:ln>
              <a:solidFill>
                <a:schemeClr val="accent6">
                  <a:lumMod val="50000"/>
                </a:schemeClr>
              </a:solidFill>
              <a:effectLst/>
            </a:rPr>
            <a:t>DATA</a:t>
          </a:r>
          <a:r>
            <a:rPr lang="en-IN" sz="3200" baseline="0">
              <a:solidFill>
                <a:schemeClr val="accent6">
                  <a:lumMod val="50000"/>
                </a:schemeClr>
              </a:solidFill>
            </a:rPr>
            <a:t> </a:t>
          </a:r>
          <a:r>
            <a:rPr lang="en-IN" sz="3200" b="1" cap="none" spc="0" baseline="0">
              <a:ln w="22225">
                <a:solidFill>
                  <a:schemeClr val="tx1">
                    <a:lumMod val="95000"/>
                    <a:lumOff val="5000"/>
                  </a:schemeClr>
                </a:solidFill>
                <a:prstDash val="solid"/>
              </a:ln>
              <a:solidFill>
                <a:schemeClr val="accent6">
                  <a:lumMod val="50000"/>
                </a:schemeClr>
              </a:solidFill>
              <a:effectLst/>
            </a:rPr>
            <a:t>DASHBOARD</a:t>
          </a:r>
          <a:endParaRPr lang="en-IN" sz="3200">
            <a:ln w="22225">
              <a:solidFill>
                <a:schemeClr val="tx1">
                  <a:lumMod val="95000"/>
                  <a:lumOff val="5000"/>
                </a:schemeClr>
              </a:solidFill>
              <a:prstDash val="solid"/>
            </a:ln>
            <a:solidFill>
              <a:schemeClr val="accent6">
                <a:lumMod val="50000"/>
              </a:schemeClr>
            </a:solidFill>
          </a:endParaRPr>
        </a:p>
      </xdr:txBody>
    </xdr:sp>
    <xdr:clientData/>
  </xdr:twoCellAnchor>
  <xdr:twoCellAnchor>
    <xdr:from>
      <xdr:col>1</xdr:col>
      <xdr:colOff>457855</xdr:colOff>
      <xdr:row>11</xdr:row>
      <xdr:rowOff>124850</xdr:rowOff>
    </xdr:from>
    <xdr:to>
      <xdr:col>5</xdr:col>
      <xdr:colOff>576147</xdr:colOff>
      <xdr:row>17</xdr:row>
      <xdr:rowOff>148683</xdr:rowOff>
    </xdr:to>
    <xdr:sp macro="" textlink="">
      <xdr:nvSpPr>
        <xdr:cNvPr id="5" name="Rectangle: Rounded Corners 4">
          <a:extLst>
            <a:ext uri="{FF2B5EF4-FFF2-40B4-BE49-F238E27FC236}">
              <a16:creationId xmlns:a16="http://schemas.microsoft.com/office/drawing/2014/main" id="{BF4FF327-306D-87ED-8186-C8FC311D5D3D}"/>
            </a:ext>
          </a:extLst>
        </xdr:cNvPr>
        <xdr:cNvSpPr/>
      </xdr:nvSpPr>
      <xdr:spPr>
        <a:xfrm>
          <a:off x="1071172" y="2169240"/>
          <a:ext cx="2571560" cy="1138955"/>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400132</xdr:colOff>
      <xdr:row>11</xdr:row>
      <xdr:rowOff>137752</xdr:rowOff>
    </xdr:from>
    <xdr:to>
      <xdr:col>10</xdr:col>
      <xdr:colOff>538319</xdr:colOff>
      <xdr:row>17</xdr:row>
      <xdr:rowOff>182575</xdr:rowOff>
    </xdr:to>
    <xdr:sp macro="" textlink="">
      <xdr:nvSpPr>
        <xdr:cNvPr id="6" name="Rectangle: Rounded Corners 5">
          <a:extLst>
            <a:ext uri="{FF2B5EF4-FFF2-40B4-BE49-F238E27FC236}">
              <a16:creationId xmlns:a16="http://schemas.microsoft.com/office/drawing/2014/main" id="{15F295D5-7BB8-43F5-B26F-C154302E801F}"/>
            </a:ext>
          </a:extLst>
        </xdr:cNvPr>
        <xdr:cNvSpPr/>
      </xdr:nvSpPr>
      <xdr:spPr>
        <a:xfrm>
          <a:off x="4080034" y="2182142"/>
          <a:ext cx="2591456" cy="1159945"/>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215590</xdr:colOff>
      <xdr:row>11</xdr:row>
      <xdr:rowOff>127975</xdr:rowOff>
    </xdr:from>
    <xdr:to>
      <xdr:col>15</xdr:col>
      <xdr:colOff>350061</xdr:colOff>
      <xdr:row>17</xdr:row>
      <xdr:rowOff>167417</xdr:rowOff>
    </xdr:to>
    <xdr:sp macro="" textlink="">
      <xdr:nvSpPr>
        <xdr:cNvPr id="7" name="Rectangle: Rounded Corners 6">
          <a:extLst>
            <a:ext uri="{FF2B5EF4-FFF2-40B4-BE49-F238E27FC236}">
              <a16:creationId xmlns:a16="http://schemas.microsoft.com/office/drawing/2014/main" id="{DCBD671B-8BB2-4A1A-9894-ECFA7232CF2C}"/>
            </a:ext>
          </a:extLst>
        </xdr:cNvPr>
        <xdr:cNvSpPr/>
      </xdr:nvSpPr>
      <xdr:spPr>
        <a:xfrm>
          <a:off x="6906485" y="2113186"/>
          <a:ext cx="2567523" cy="1122284"/>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3501</xdr:colOff>
      <xdr:row>11</xdr:row>
      <xdr:rowOff>150278</xdr:rowOff>
    </xdr:from>
    <xdr:to>
      <xdr:col>20</xdr:col>
      <xdr:colOff>137972</xdr:colOff>
      <xdr:row>17</xdr:row>
      <xdr:rowOff>166861</xdr:rowOff>
    </xdr:to>
    <xdr:sp macro="" textlink="">
      <xdr:nvSpPr>
        <xdr:cNvPr id="8" name="Rectangle: Rounded Corners 7">
          <a:extLst>
            <a:ext uri="{FF2B5EF4-FFF2-40B4-BE49-F238E27FC236}">
              <a16:creationId xmlns:a16="http://schemas.microsoft.com/office/drawing/2014/main" id="{00257CDD-309B-42DB-9E82-D1AA377B4056}"/>
            </a:ext>
          </a:extLst>
        </xdr:cNvPr>
        <xdr:cNvSpPr/>
      </xdr:nvSpPr>
      <xdr:spPr>
        <a:xfrm>
          <a:off x="9792698" y="2169300"/>
          <a:ext cx="2581770" cy="1117868"/>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11722</xdr:colOff>
      <xdr:row>12</xdr:row>
      <xdr:rowOff>37172</xdr:rowOff>
    </xdr:from>
    <xdr:to>
      <xdr:col>5</xdr:col>
      <xdr:colOff>375136</xdr:colOff>
      <xdr:row>14</xdr:row>
      <xdr:rowOff>93785</xdr:rowOff>
    </xdr:to>
    <xdr:sp macro="" textlink="">
      <xdr:nvSpPr>
        <xdr:cNvPr id="9" name="TextBox 8">
          <a:extLst>
            <a:ext uri="{FF2B5EF4-FFF2-40B4-BE49-F238E27FC236}">
              <a16:creationId xmlns:a16="http://schemas.microsoft.com/office/drawing/2014/main" id="{3BFF938B-0A46-ED80-E7E2-EED13CD93088}"/>
            </a:ext>
          </a:extLst>
        </xdr:cNvPr>
        <xdr:cNvSpPr txBox="1"/>
      </xdr:nvSpPr>
      <xdr:spPr>
        <a:xfrm flipH="1">
          <a:off x="1230922" y="2288003"/>
          <a:ext cx="2192214" cy="431751"/>
        </a:xfrm>
        <a:prstGeom prst="rect">
          <a:avLst/>
        </a:prstGeom>
        <a:solidFill>
          <a:schemeClr val="accent5">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0" cap="none" spc="0">
              <a:ln w="0">
                <a:solidFill>
                  <a:schemeClr val="tx1">
                    <a:lumMod val="95000"/>
                    <a:lumOff val="5000"/>
                  </a:schemeClr>
                </a:solidFill>
              </a:ln>
              <a:solidFill>
                <a:schemeClr val="accent1"/>
              </a:solidFill>
              <a:effectLst>
                <a:outerShdw blurRad="38100" dist="25400" dir="5400000" algn="ctr" rotWithShape="0">
                  <a:srgbClr val="6E747A">
                    <a:alpha val="43000"/>
                  </a:srgbClr>
                </a:outerShdw>
              </a:effectLst>
            </a:rPr>
            <a:t>Total</a:t>
          </a:r>
          <a:r>
            <a:rPr lang="en-IN" sz="2400" baseline="0"/>
            <a:t> </a:t>
          </a:r>
          <a:r>
            <a:rPr lang="en-IN" sz="2000" b="0" cap="none" spc="0" baseline="0">
              <a:ln w="0">
                <a:solidFill>
                  <a:schemeClr val="tx1">
                    <a:lumMod val="95000"/>
                    <a:lumOff val="5000"/>
                  </a:schemeClr>
                </a:solidFill>
              </a:ln>
              <a:solidFill>
                <a:schemeClr val="accent1"/>
              </a:solidFill>
              <a:effectLst>
                <a:outerShdw blurRad="38100" dist="25400" dir="5400000" algn="ctr" rotWithShape="0">
                  <a:srgbClr val="6E747A">
                    <a:alpha val="43000"/>
                  </a:srgbClr>
                </a:outerShdw>
              </a:effectLst>
            </a:rPr>
            <a:t>Movies</a:t>
          </a:r>
          <a:r>
            <a:rPr lang="en-IN" sz="2400" baseline="0"/>
            <a:t> </a:t>
          </a:r>
        </a:p>
        <a:p>
          <a:endParaRPr lang="en-IN" sz="1100"/>
        </a:p>
      </xdr:txBody>
    </xdr:sp>
    <xdr:clientData/>
  </xdr:twoCellAnchor>
  <xdr:twoCellAnchor>
    <xdr:from>
      <xdr:col>2</xdr:col>
      <xdr:colOff>55547</xdr:colOff>
      <xdr:row>15</xdr:row>
      <xdr:rowOff>45248</xdr:rowOff>
    </xdr:from>
    <xdr:to>
      <xdr:col>5</xdr:col>
      <xdr:colOff>335210</xdr:colOff>
      <xdr:row>16</xdr:row>
      <xdr:rowOff>162478</xdr:rowOff>
    </xdr:to>
    <xdr:sp macro="" textlink="Sheet1!E45">
      <xdr:nvSpPr>
        <xdr:cNvPr id="10" name="TextBox 9">
          <a:extLst>
            <a:ext uri="{FF2B5EF4-FFF2-40B4-BE49-F238E27FC236}">
              <a16:creationId xmlns:a16="http://schemas.microsoft.com/office/drawing/2014/main" id="{CAE15FA4-1E52-6152-28A6-9DEA03DFE71E}"/>
            </a:ext>
          </a:extLst>
        </xdr:cNvPr>
        <xdr:cNvSpPr txBox="1"/>
      </xdr:nvSpPr>
      <xdr:spPr>
        <a:xfrm>
          <a:off x="1285442" y="2852616"/>
          <a:ext cx="2124505" cy="304388"/>
        </a:xfrm>
        <a:prstGeom prst="rect">
          <a:avLst/>
        </a:prstGeom>
        <a:solidFill>
          <a:schemeClr val="accent5">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BD0A43C-FD51-4515-9B02-EB2809CD3384}" type="TxLink">
            <a:rPr lang="en-US" sz="1600" b="0" i="0" u="none" strike="noStrike">
              <a:solidFill>
                <a:srgbClr val="000000"/>
              </a:solidFill>
              <a:latin typeface="Calibri"/>
              <a:ea typeface="Calibri"/>
              <a:cs typeface="Calibri"/>
            </a:rPr>
            <a:pPr algn="ctr"/>
            <a:t>39</a:t>
          </a:fld>
          <a:endParaRPr lang="en-IN" sz="1600"/>
        </a:p>
      </xdr:txBody>
    </xdr:sp>
    <xdr:clientData/>
  </xdr:twoCellAnchor>
  <xdr:twoCellAnchor>
    <xdr:from>
      <xdr:col>6</xdr:col>
      <xdr:colOff>578379</xdr:colOff>
      <xdr:row>12</xdr:row>
      <xdr:rowOff>66843</xdr:rowOff>
    </xdr:from>
    <xdr:to>
      <xdr:col>10</xdr:col>
      <xdr:colOff>320471</xdr:colOff>
      <xdr:row>14</xdr:row>
      <xdr:rowOff>117113</xdr:rowOff>
    </xdr:to>
    <xdr:sp macro="" textlink="Sheet1!A45">
      <xdr:nvSpPr>
        <xdr:cNvPr id="13" name="TextBox 12">
          <a:extLst>
            <a:ext uri="{FF2B5EF4-FFF2-40B4-BE49-F238E27FC236}">
              <a16:creationId xmlns:a16="http://schemas.microsoft.com/office/drawing/2014/main" id="{3977AFF1-339B-E71A-D7EE-2A7288A940D1}"/>
            </a:ext>
          </a:extLst>
        </xdr:cNvPr>
        <xdr:cNvSpPr txBox="1"/>
      </xdr:nvSpPr>
      <xdr:spPr>
        <a:xfrm>
          <a:off x="4268063" y="2312738"/>
          <a:ext cx="2201882" cy="424586"/>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pPr algn="ctr"/>
          <a:fld id="{CC1CA8F6-CA62-40AA-A87F-1C5FF515DB53}" type="TxLink">
            <a:rPr lang="en-US" sz="2000" b="0" i="0" u="none" strike="noStrike" cap="none" spc="0">
              <a:ln w="0">
                <a:solidFill>
                  <a:schemeClr val="tx1"/>
                </a:solidFill>
              </a:ln>
              <a:solidFill>
                <a:schemeClr val="tx1">
                  <a:lumMod val="95000"/>
                  <a:lumOff val="5000"/>
                </a:schemeClr>
              </a:solidFill>
              <a:effectLst>
                <a:outerShdw blurRad="38100" dist="25400" dir="5400000" algn="ctr" rotWithShape="0">
                  <a:srgbClr val="6E747A">
                    <a:alpha val="43000"/>
                  </a:srgbClr>
                </a:outerShdw>
              </a:effectLst>
              <a:latin typeface="Calibri"/>
              <a:ea typeface="Calibri"/>
              <a:cs typeface="Calibri"/>
            </a:rPr>
            <a:pPr algn="ctr"/>
            <a:t>Total Profit</a:t>
          </a:fld>
          <a:endParaRPr lang="en-US" sz="2000">
            <a:ln w="0">
              <a:solidFill>
                <a:schemeClr val="tx1"/>
              </a:solidFill>
            </a:ln>
            <a:solidFill>
              <a:schemeClr val="tx1">
                <a:lumMod val="95000"/>
                <a:lumOff val="5000"/>
              </a:schemeClr>
            </a:solidFill>
          </a:endParaRPr>
        </a:p>
      </xdr:txBody>
    </xdr:sp>
    <xdr:clientData/>
  </xdr:twoCellAnchor>
  <xdr:twoCellAnchor>
    <xdr:from>
      <xdr:col>7</xdr:col>
      <xdr:colOff>66841</xdr:colOff>
      <xdr:row>15</xdr:row>
      <xdr:rowOff>66843</xdr:rowOff>
    </xdr:from>
    <xdr:to>
      <xdr:col>10</xdr:col>
      <xdr:colOff>264366</xdr:colOff>
      <xdr:row>16</xdr:row>
      <xdr:rowOff>183623</xdr:rowOff>
    </xdr:to>
    <xdr:sp macro="" textlink="Sheet1!B45">
      <xdr:nvSpPr>
        <xdr:cNvPr id="14" name="TextBox 13">
          <a:extLst>
            <a:ext uri="{FF2B5EF4-FFF2-40B4-BE49-F238E27FC236}">
              <a16:creationId xmlns:a16="http://schemas.microsoft.com/office/drawing/2014/main" id="{6B147E55-FBBA-7263-A589-973AE883D62B}"/>
            </a:ext>
          </a:extLst>
        </xdr:cNvPr>
        <xdr:cNvSpPr txBox="1"/>
      </xdr:nvSpPr>
      <xdr:spPr>
        <a:xfrm>
          <a:off x="4371473" y="2874211"/>
          <a:ext cx="2042367" cy="3039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2404A8E-E4E3-4FD2-8AC5-20EB92883CC8}" type="TxLink">
            <a:rPr lang="en-US" sz="1600" b="0" i="0" u="none" strike="noStrike">
              <a:solidFill>
                <a:srgbClr val="000000"/>
              </a:solidFill>
              <a:latin typeface="Calibri"/>
              <a:ea typeface="Calibri"/>
              <a:cs typeface="Calibri"/>
            </a:rPr>
            <a:pPr algn="ctr"/>
            <a:t>1425460.4</a:t>
          </a:fld>
          <a:endParaRPr lang="en-IN" sz="1600"/>
        </a:p>
      </xdr:txBody>
    </xdr:sp>
    <xdr:clientData/>
  </xdr:twoCellAnchor>
  <xdr:twoCellAnchor>
    <xdr:from>
      <xdr:col>9</xdr:col>
      <xdr:colOff>206551</xdr:colOff>
      <xdr:row>18</xdr:row>
      <xdr:rowOff>179185</xdr:rowOff>
    </xdr:from>
    <xdr:to>
      <xdr:col>16</xdr:col>
      <xdr:colOff>516699</xdr:colOff>
      <xdr:row>33</xdr:row>
      <xdr:rowOff>108847</xdr:rowOff>
    </xdr:to>
    <xdr:graphicFrame macro="">
      <xdr:nvGraphicFramePr>
        <xdr:cNvPr id="15" name="Chart 14">
          <a:extLst>
            <a:ext uri="{FF2B5EF4-FFF2-40B4-BE49-F238E27FC236}">
              <a16:creationId xmlns:a16="http://schemas.microsoft.com/office/drawing/2014/main" id="{AD993A71-9B4B-4D8B-84EB-315D9F2B5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320841</xdr:colOff>
      <xdr:row>12</xdr:row>
      <xdr:rowOff>26737</xdr:rowOff>
    </xdr:from>
    <xdr:to>
      <xdr:col>15</xdr:col>
      <xdr:colOff>200526</xdr:colOff>
      <xdr:row>14</xdr:row>
      <xdr:rowOff>93579</xdr:rowOff>
    </xdr:to>
    <xdr:sp macro="" textlink="">
      <xdr:nvSpPr>
        <xdr:cNvPr id="16" name="TextBox 15">
          <a:extLst>
            <a:ext uri="{FF2B5EF4-FFF2-40B4-BE49-F238E27FC236}">
              <a16:creationId xmlns:a16="http://schemas.microsoft.com/office/drawing/2014/main" id="{65680864-2202-7C93-17D1-DBFAFB64C225}"/>
            </a:ext>
          </a:extLst>
        </xdr:cNvPr>
        <xdr:cNvSpPr txBox="1"/>
      </xdr:nvSpPr>
      <xdr:spPr>
        <a:xfrm>
          <a:off x="7085262" y="2272632"/>
          <a:ext cx="2339475" cy="4411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ln>
                <a:solidFill>
                  <a:schemeClr val="tx1"/>
                </a:solidFill>
              </a:ln>
              <a:solidFill>
                <a:schemeClr val="tx1">
                  <a:lumMod val="95000"/>
                  <a:lumOff val="5000"/>
                </a:schemeClr>
              </a:solidFill>
            </a:rPr>
            <a:t>Total</a:t>
          </a:r>
          <a:r>
            <a:rPr lang="en-US" sz="2000"/>
            <a:t> </a:t>
          </a:r>
          <a:r>
            <a:rPr lang="en-US" sz="2000" b="0" cap="none" spc="0">
              <a:ln w="0">
                <a:solidFill>
                  <a:schemeClr val="tx1"/>
                </a:solidFill>
              </a:ln>
              <a:solidFill>
                <a:schemeClr val="tx1">
                  <a:lumMod val="95000"/>
                  <a:lumOff val="5000"/>
                </a:schemeClr>
              </a:solidFill>
              <a:effectLst>
                <a:outerShdw blurRad="38100" dist="25400" dir="5400000" algn="ctr" rotWithShape="0">
                  <a:srgbClr val="6E747A">
                    <a:alpha val="43000"/>
                  </a:srgbClr>
                </a:outerShdw>
              </a:effectLst>
            </a:rPr>
            <a:t>Revenue</a:t>
          </a:r>
          <a:endParaRPr lang="en-US" sz="2000">
            <a:ln w="0">
              <a:solidFill>
                <a:schemeClr val="tx1"/>
              </a:solidFill>
            </a:ln>
            <a:solidFill>
              <a:schemeClr val="tx1">
                <a:lumMod val="95000"/>
                <a:lumOff val="5000"/>
              </a:schemeClr>
            </a:solidFill>
          </a:endParaRPr>
        </a:p>
        <a:p>
          <a:pPr algn="ctr"/>
          <a:endParaRPr lang="en-US" sz="2000"/>
        </a:p>
        <a:p>
          <a:pPr algn="ctr"/>
          <a:endParaRPr lang="en-US" sz="2000"/>
        </a:p>
        <a:p>
          <a:pPr algn="ctr"/>
          <a:endParaRPr lang="en-US" sz="2000"/>
        </a:p>
        <a:p>
          <a:pPr algn="ctr"/>
          <a:endParaRPr lang="en-US" sz="2000"/>
        </a:p>
      </xdr:txBody>
    </xdr:sp>
    <xdr:clientData/>
  </xdr:twoCellAnchor>
  <xdr:twoCellAnchor>
    <xdr:from>
      <xdr:col>11</xdr:col>
      <xdr:colOff>387820</xdr:colOff>
      <xdr:row>15</xdr:row>
      <xdr:rowOff>38877</xdr:rowOff>
    </xdr:from>
    <xdr:to>
      <xdr:col>15</xdr:col>
      <xdr:colOff>171061</xdr:colOff>
      <xdr:row>17</xdr:row>
      <xdr:rowOff>8048</xdr:rowOff>
    </xdr:to>
    <xdr:sp macro="" textlink="Sheet1!H45">
      <xdr:nvSpPr>
        <xdr:cNvPr id="17" name="TextBox 16">
          <a:extLst>
            <a:ext uri="{FF2B5EF4-FFF2-40B4-BE49-F238E27FC236}">
              <a16:creationId xmlns:a16="http://schemas.microsoft.com/office/drawing/2014/main" id="{998EFCD7-06CF-C216-D031-BA81DBD2B46D}"/>
            </a:ext>
          </a:extLst>
        </xdr:cNvPr>
        <xdr:cNvSpPr txBox="1"/>
      </xdr:nvSpPr>
      <xdr:spPr>
        <a:xfrm>
          <a:off x="7059208" y="2838061"/>
          <a:ext cx="2209200" cy="3423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08A7580-FEBC-4863-97BA-F2C984ED8BF3}" type="TxLink">
            <a:rPr lang="en-US" sz="1600" b="0" i="0" u="none" strike="noStrike">
              <a:solidFill>
                <a:srgbClr val="000000"/>
              </a:solidFill>
              <a:latin typeface="Calibri"/>
              <a:ea typeface="Calibri"/>
              <a:cs typeface="Calibri"/>
            </a:rPr>
            <a:pPr algn="ctr"/>
            <a:t>1705867.1</a:t>
          </a:fld>
          <a:endParaRPr lang="en-IN" sz="1600"/>
        </a:p>
      </xdr:txBody>
    </xdr:sp>
    <xdr:clientData/>
  </xdr:twoCellAnchor>
  <xdr:twoCellAnchor>
    <xdr:from>
      <xdr:col>16</xdr:col>
      <xdr:colOff>122365</xdr:colOff>
      <xdr:row>12</xdr:row>
      <xdr:rowOff>33372</xdr:rowOff>
    </xdr:from>
    <xdr:to>
      <xdr:col>20</xdr:col>
      <xdr:colOff>5563</xdr:colOff>
      <xdr:row>14</xdr:row>
      <xdr:rowOff>133684</xdr:rowOff>
    </xdr:to>
    <xdr:sp macro="" textlink="Sheet1!J41">
      <xdr:nvSpPr>
        <xdr:cNvPr id="18" name="TextBox 17">
          <a:extLst>
            <a:ext uri="{FF2B5EF4-FFF2-40B4-BE49-F238E27FC236}">
              <a16:creationId xmlns:a16="http://schemas.microsoft.com/office/drawing/2014/main" id="{51A1F80F-1B41-5E47-41E2-CCB6FDFA6320}"/>
            </a:ext>
          </a:extLst>
        </xdr:cNvPr>
        <xdr:cNvSpPr txBox="1"/>
      </xdr:nvSpPr>
      <xdr:spPr>
        <a:xfrm>
          <a:off x="9961523" y="2279267"/>
          <a:ext cx="2342987" cy="474628"/>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8A4799-8DD6-4175-B225-3EAE17CEE0B6}" type="TxLink">
            <a:rPr lang="en-US" sz="2000" b="0" i="0" u="none" strike="noStrike" cap="none" spc="0">
              <a:ln w="0">
                <a:solidFill>
                  <a:schemeClr val="tx1"/>
                </a:solidFill>
              </a:ln>
              <a:solidFill>
                <a:schemeClr val="tx1">
                  <a:lumMod val="95000"/>
                  <a:lumOff val="5000"/>
                </a:schemeClr>
              </a:solidFill>
              <a:effectLst>
                <a:outerShdw blurRad="38100" dist="25400" dir="5400000" algn="ctr" rotWithShape="0">
                  <a:srgbClr val="6E747A">
                    <a:alpha val="43000"/>
                  </a:srgbClr>
                </a:outerShdw>
              </a:effectLst>
              <a:latin typeface="Calibri"/>
              <a:ea typeface="Calibri"/>
              <a:cs typeface="Calibri"/>
            </a:rPr>
            <a:pPr algn="ctr"/>
            <a:t>Year of Reveue</a:t>
          </a:fld>
          <a:endParaRPr lang="en-IN" sz="2000" b="0" i="0" u="none" strike="noStrike" cap="none" spc="0">
            <a:ln w="0">
              <a:solidFill>
                <a:schemeClr val="tx1"/>
              </a:solidFill>
            </a:ln>
            <a:solidFill>
              <a:schemeClr val="tx1">
                <a:lumMod val="95000"/>
                <a:lumOff val="5000"/>
              </a:schemeClr>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16</xdr:col>
      <xdr:colOff>266977</xdr:colOff>
      <xdr:row>15</xdr:row>
      <xdr:rowOff>61086</xdr:rowOff>
    </xdr:from>
    <xdr:to>
      <xdr:col>19</xdr:col>
      <xdr:colOff>500583</xdr:colOff>
      <xdr:row>17</xdr:row>
      <xdr:rowOff>16589</xdr:rowOff>
    </xdr:to>
    <xdr:sp macro="" textlink="Sheet1!K41">
      <xdr:nvSpPr>
        <xdr:cNvPr id="19" name="TextBox 18">
          <a:extLst>
            <a:ext uri="{FF2B5EF4-FFF2-40B4-BE49-F238E27FC236}">
              <a16:creationId xmlns:a16="http://schemas.microsoft.com/office/drawing/2014/main" id="{EAAF987E-E593-97BB-56BE-855185564E82}"/>
            </a:ext>
          </a:extLst>
        </xdr:cNvPr>
        <xdr:cNvSpPr txBox="1"/>
      </xdr:nvSpPr>
      <xdr:spPr>
        <a:xfrm>
          <a:off x="10106135" y="2868454"/>
          <a:ext cx="2078448" cy="3298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D2B153-6E45-4922-8C97-0739FA02E3D4}" type="TxLink">
            <a:rPr lang="en-US" sz="1600" b="0" i="0" u="none" strike="noStrike">
              <a:solidFill>
                <a:srgbClr val="000000"/>
              </a:solidFill>
              <a:latin typeface="Calibri"/>
              <a:ea typeface="Calibri"/>
              <a:cs typeface="Calibri"/>
            </a:rPr>
            <a:pPr algn="ctr"/>
            <a:t>1705867.1</a:t>
          </a:fld>
          <a:endParaRPr lang="en-IN" sz="1600" b="0" i="0" u="none" strike="noStrike">
            <a:solidFill>
              <a:srgbClr val="000000"/>
            </a:solidFill>
            <a:latin typeface="Calibri"/>
            <a:ea typeface="Calibri"/>
            <a:cs typeface="Calibri"/>
          </a:endParaRPr>
        </a:p>
      </xdr:txBody>
    </xdr:sp>
    <xdr:clientData/>
  </xdr:twoCellAnchor>
  <xdr:twoCellAnchor editAs="oneCell">
    <xdr:from>
      <xdr:col>17</xdr:col>
      <xdr:colOff>184224</xdr:colOff>
      <xdr:row>24</xdr:row>
      <xdr:rowOff>181576</xdr:rowOff>
    </xdr:from>
    <xdr:to>
      <xdr:col>20</xdr:col>
      <xdr:colOff>164053</xdr:colOff>
      <xdr:row>39</xdr:row>
      <xdr:rowOff>34635</xdr:rowOff>
    </xdr:to>
    <mc:AlternateContent xmlns:mc="http://schemas.openxmlformats.org/markup-compatibility/2006">
      <mc:Choice xmlns:a14="http://schemas.microsoft.com/office/drawing/2010/main" Requires="a14">
        <xdr:graphicFrame macro="">
          <xdr:nvGraphicFramePr>
            <xdr:cNvPr id="11" name="studio 1">
              <a:extLst>
                <a:ext uri="{FF2B5EF4-FFF2-40B4-BE49-F238E27FC236}">
                  <a16:creationId xmlns:a16="http://schemas.microsoft.com/office/drawing/2014/main" id="{AFF887DC-59F2-41D5-9CA3-0A96539EFB90}"/>
                </a:ext>
              </a:extLst>
            </xdr:cNvPr>
            <xdr:cNvGraphicFramePr/>
          </xdr:nvGraphicFramePr>
          <xdr:xfrm>
            <a:off x="0" y="0"/>
            <a:ext cx="0" cy="0"/>
          </xdr:xfrm>
          <a:graphic>
            <a:graphicData uri="http://schemas.microsoft.com/office/drawing/2010/slicer">
              <sle:slicer xmlns:sle="http://schemas.microsoft.com/office/drawing/2010/slicer" name="studio 1"/>
            </a:graphicData>
          </a:graphic>
        </xdr:graphicFrame>
      </mc:Choice>
      <mc:Fallback>
        <xdr:sp macro="" textlink="">
          <xdr:nvSpPr>
            <xdr:cNvPr id="0" name=""/>
            <xdr:cNvSpPr>
              <a:spLocks noTextEdit="1"/>
            </xdr:cNvSpPr>
          </xdr:nvSpPr>
          <xdr:spPr>
            <a:xfrm>
              <a:off x="10488542" y="4753576"/>
              <a:ext cx="1798238" cy="271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166907</xdr:colOff>
      <xdr:row>18</xdr:row>
      <xdr:rowOff>171248</xdr:rowOff>
    </xdr:from>
    <xdr:to>
      <xdr:col>20</xdr:col>
      <xdr:colOff>147053</xdr:colOff>
      <xdr:row>23</xdr:row>
      <xdr:rowOff>160422</xdr:rowOff>
    </xdr:to>
    <mc:AlternateContent xmlns:mc="http://schemas.openxmlformats.org/markup-compatibility/2006" xmlns:a14="http://schemas.microsoft.com/office/drawing/2010/main">
      <mc:Choice Requires="a14">
        <xdr:graphicFrame macro="">
          <xdr:nvGraphicFramePr>
            <xdr:cNvPr id="12" name="industry 1">
              <a:extLst>
                <a:ext uri="{FF2B5EF4-FFF2-40B4-BE49-F238E27FC236}">
                  <a16:creationId xmlns:a16="http://schemas.microsoft.com/office/drawing/2014/main" id="{40D6551B-0DF5-491B-80B2-FF6CFA625FC4}"/>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10621012" y="3540090"/>
              <a:ext cx="1824988" cy="924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229647</xdr:colOff>
      <xdr:row>40</xdr:row>
      <xdr:rowOff>85401</xdr:rowOff>
    </xdr:from>
    <xdr:to>
      <xdr:col>20</xdr:col>
      <xdr:colOff>213605</xdr:colOff>
      <xdr:row>49</xdr:row>
      <xdr:rowOff>84032</xdr:rowOff>
    </xdr:to>
    <mc:AlternateContent xmlns:mc="http://schemas.openxmlformats.org/markup-compatibility/2006">
      <mc:Choice xmlns:a14="http://schemas.microsoft.com/office/drawing/2010/main" Requires="a14">
        <xdr:graphicFrame macro="">
          <xdr:nvGraphicFramePr>
            <xdr:cNvPr id="20" name="Language 1">
              <a:extLst>
                <a:ext uri="{FF2B5EF4-FFF2-40B4-BE49-F238E27FC236}">
                  <a16:creationId xmlns:a16="http://schemas.microsoft.com/office/drawing/2014/main" id="{9DE79A7D-98C1-41CA-AD19-921F5C505C2B}"/>
                </a:ext>
              </a:extLst>
            </xdr:cNvPr>
            <xdr:cNvGraphicFramePr/>
          </xdr:nvGraphicFramePr>
          <xdr:xfrm>
            <a:off x="0" y="0"/>
            <a:ext cx="0" cy="0"/>
          </xdr:xfrm>
          <a:graphic>
            <a:graphicData uri="http://schemas.microsoft.com/office/drawing/2010/slicer">
              <sle:slicer xmlns:sle="http://schemas.microsoft.com/office/drawing/2010/slicer" name="Language 1"/>
            </a:graphicData>
          </a:graphic>
        </xdr:graphicFrame>
      </mc:Choice>
      <mc:Fallback>
        <xdr:sp macro="" textlink="">
          <xdr:nvSpPr>
            <xdr:cNvPr id="0" name=""/>
            <xdr:cNvSpPr>
              <a:spLocks noTextEdit="1"/>
            </xdr:cNvSpPr>
          </xdr:nvSpPr>
          <xdr:spPr>
            <a:xfrm>
              <a:off x="10533965" y="7705401"/>
              <a:ext cx="1802367" cy="1713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415636</xdr:colOff>
      <xdr:row>18</xdr:row>
      <xdr:rowOff>161124</xdr:rowOff>
    </xdr:from>
    <xdr:to>
      <xdr:col>9</xdr:col>
      <xdr:colOff>22010</xdr:colOff>
      <xdr:row>33</xdr:row>
      <xdr:rowOff>46824</xdr:rowOff>
    </xdr:to>
    <xdr:graphicFrame macro="">
      <xdr:nvGraphicFramePr>
        <xdr:cNvPr id="23" name="Chart 22">
          <a:extLst>
            <a:ext uri="{FF2B5EF4-FFF2-40B4-BE49-F238E27FC236}">
              <a16:creationId xmlns:a16="http://schemas.microsoft.com/office/drawing/2014/main" id="{C0122BF0-2395-48CC-A70B-03D6A3756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432955</xdr:colOff>
      <xdr:row>34</xdr:row>
      <xdr:rowOff>173181</xdr:rowOff>
    </xdr:from>
    <xdr:to>
      <xdr:col>9</xdr:col>
      <xdr:colOff>0</xdr:colOff>
      <xdr:row>49</xdr:row>
      <xdr:rowOff>58881</xdr:rowOff>
    </xdr:to>
    <xdr:graphicFrame macro="">
      <xdr:nvGraphicFramePr>
        <xdr:cNvPr id="24" name="Chart 23">
          <a:extLst>
            <a:ext uri="{FF2B5EF4-FFF2-40B4-BE49-F238E27FC236}">
              <a16:creationId xmlns:a16="http://schemas.microsoft.com/office/drawing/2014/main" id="{1F5F60CD-3A90-4FB6-9F6C-DF142D79A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214265</xdr:colOff>
      <xdr:row>34</xdr:row>
      <xdr:rowOff>157577</xdr:rowOff>
    </xdr:from>
    <xdr:to>
      <xdr:col>16</xdr:col>
      <xdr:colOff>493830</xdr:colOff>
      <xdr:row>49</xdr:row>
      <xdr:rowOff>43277</xdr:rowOff>
    </xdr:to>
    <xdr:graphicFrame macro="">
      <xdr:nvGraphicFramePr>
        <xdr:cNvPr id="25" name="Chart 24">
          <a:extLst>
            <a:ext uri="{FF2B5EF4-FFF2-40B4-BE49-F238E27FC236}">
              <a16:creationId xmlns:a16="http://schemas.microsoft.com/office/drawing/2014/main" id="{1F52B2DB-B15A-4B4F-B990-428A465FE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m" refreshedDate="46141.999091203703" createdVersion="8" refreshedVersion="8" minRefreshableVersion="3" recordCount="39" xr:uid="{C57DA35B-8F40-4AD7-AA8A-92FDB7EA82DA}">
  <cacheSource type="worksheet">
    <worksheetSource name="Table1__2"/>
  </cacheSource>
  <cacheFields count="11">
    <cacheField name="movie_id" numFmtId="0">
      <sharedItems containsSemiMixedTypes="0" containsString="0" containsNumber="1" containsInteger="1" minValue="101" maxValue="140"/>
    </cacheField>
    <cacheField name="movie_title" numFmtId="0">
      <sharedItems count="39">
        <s v="K.G.F: Chapter 2"/>
        <s v="Sholay"/>
        <s v="Dilwale Dulhania Le Jayenge"/>
        <s v="3 Idiots"/>
        <s v="Kabhi Khushi Kabhie Gham"/>
        <s v="Doctor Strange in the Multiverse of Madness"/>
        <s v="Thor: The Dark World"/>
        <s v="Thor: Ragnarok"/>
        <s v="Thor: Love and Thunder"/>
        <s v="Bajirao Mastani"/>
        <s v="The Shawshank Redemption"/>
        <s v="Inception"/>
        <s v="Interstellar"/>
        <s v="The Pursuit of Happyness"/>
        <s v="Gladiator"/>
        <s v="Titanic"/>
        <s v="It's a Wonderful Life"/>
        <s v="Avatar"/>
        <s v="The Godfather"/>
        <s v="The Dark Knight"/>
        <s v="Schindler's List"/>
        <s v="Jurassic Park"/>
        <s v="Parasite"/>
        <s v="Avengers: Endgame"/>
        <s v="Avengers: Infinity War"/>
        <s v="Pather Panchali"/>
        <s v="Taare Zameen Par"/>
        <s v="Munna Bhai M.B.B.S."/>
        <s v="PK"/>
        <s v="Sanju"/>
        <s v="Pushpa: The Rise - Part 1"/>
        <s v="RRR"/>
        <s v="Baahubali: The Beginning"/>
        <s v="The Kashmir Files"/>
        <s v="Bajrangi Bhaijaan"/>
        <s v="Captain America: The First Avenger"/>
        <s v="Captain America: The Winter Soldier"/>
        <s v="Race 3"/>
        <s v="Shershaah"/>
      </sharedItems>
    </cacheField>
    <cacheField name="industry" numFmtId="0">
      <sharedItems count="2">
        <s v="Bollywood"/>
        <s v="Hollywood"/>
      </sharedItems>
    </cacheField>
    <cacheField name="release_year" numFmtId="0">
      <sharedItems containsSemiMixedTypes="0" containsString="0" containsNumber="1" containsInteger="1" minValue="1946" maxValue="2022" count="25">
        <n v="2022"/>
        <n v="1975"/>
        <n v="1995"/>
        <n v="2009"/>
        <n v="2001"/>
        <n v="2013"/>
        <n v="2017"/>
        <n v="2015"/>
        <n v="1994"/>
        <n v="2010"/>
        <n v="2014"/>
        <n v="2006"/>
        <n v="2000"/>
        <n v="1997"/>
        <n v="1946"/>
        <n v="1972"/>
        <n v="2008"/>
        <n v="1993"/>
        <n v="2019"/>
        <n v="2018"/>
        <n v="1955"/>
        <n v="2007"/>
        <n v="2003"/>
        <n v="2021"/>
        <n v="2011"/>
      </sharedItems>
    </cacheField>
    <cacheField name="imdb_rating" numFmtId="0">
      <sharedItems containsSemiMixedTypes="0" containsString="0" containsNumber="1" minValue="1.9" maxValue="9.1999999999999993"/>
    </cacheField>
    <cacheField name="studio" numFmtId="0">
      <sharedItems count="22">
        <s v="Hombale Films"/>
        <s v="United Producers"/>
        <s v="Yash Raj Films"/>
        <s v="Vinod Chopra Films"/>
        <s v="others"/>
        <s v="Marvel Studios"/>
        <s v="Castle Rock Entertainment"/>
        <s v="Warner Bros. Pictures"/>
        <s v="Columbia Pictures"/>
        <s v="Universal Pictures"/>
        <s v="Paramount Pictures"/>
        <s v="Liberty Films"/>
        <s v="20th Century Fox"/>
        <s v="Syncopy"/>
        <s v="Government of West Bengal"/>
        <s v="Vinod Chopra Productions"/>
        <s v="Mythri Movie Makers"/>
        <s v="DVV Entertainment"/>
        <s v="Arka Media Works"/>
        <s v="Zee Studios"/>
        <s v="Salman Khan Films"/>
        <s v="Dharma Productions"/>
      </sharedItems>
    </cacheField>
    <cacheField name="language_id" numFmtId="0">
      <sharedItems containsSemiMixedTypes="0" containsString="0" containsNumber="1" containsInteger="1" minValue="1" maxValue="7"/>
    </cacheField>
    <cacheField name="budget " numFmtId="0">
      <sharedItems containsSemiMixedTypes="0" containsString="0" containsNumber="1" minValue="0" maxValue="36000"/>
    </cacheField>
    <cacheField name="revenue" numFmtId="0">
      <sharedItems containsSemiMixedTypes="0" containsString="0" containsNumber="1" minValue="0" maxValue="256230"/>
    </cacheField>
    <cacheField name="   profit" numFmtId="0">
      <sharedItems containsSemiMixedTypes="0" containsString="0" containsNumber="1" minValue="0" maxValue="234900"/>
    </cacheField>
    <cacheField name="Language" numFmtId="0">
      <sharedItems count="5">
        <s v="Kannada"/>
        <s v="Hindi"/>
        <s v="English"/>
        <s v="Bengali"/>
        <s v="Telugu"/>
      </sharedItems>
    </cacheField>
  </cacheFields>
  <extLst>
    <ext xmlns:x14="http://schemas.microsoft.com/office/spreadsheetml/2009/9/main" uri="{725AE2AE-9491-48be-B2B4-4EB974FC3084}">
      <x14:pivotCacheDefinition pivotCacheId="7832657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n v="101"/>
    <x v="0"/>
    <x v="0"/>
    <x v="0"/>
    <n v="8.4"/>
    <x v="0"/>
    <n v="3"/>
    <n v="1"/>
    <n v="12.5"/>
    <n v="11.5"/>
    <x v="0"/>
  </r>
  <r>
    <n v="106"/>
    <x v="1"/>
    <x v="0"/>
    <x v="1"/>
    <n v="8.1"/>
    <x v="1"/>
    <n v="1"/>
    <n v="0"/>
    <n v="0"/>
    <n v="0"/>
    <x v="1"/>
  </r>
  <r>
    <n v="107"/>
    <x v="2"/>
    <x v="0"/>
    <x v="2"/>
    <n v="8"/>
    <x v="2"/>
    <n v="1"/>
    <n v="400"/>
    <n v="2000"/>
    <n v="1600"/>
    <x v="1"/>
  </r>
  <r>
    <n v="108"/>
    <x v="3"/>
    <x v="0"/>
    <x v="3"/>
    <n v="8.4"/>
    <x v="3"/>
    <n v="1"/>
    <n v="550"/>
    <n v="4000"/>
    <n v="3450"/>
    <x v="1"/>
  </r>
  <r>
    <n v="109"/>
    <x v="4"/>
    <x v="0"/>
    <x v="4"/>
    <n v="7.4"/>
    <x v="4"/>
    <n v="1"/>
    <n v="390"/>
    <n v="1360"/>
    <n v="970"/>
    <x v="1"/>
  </r>
  <r>
    <n v="102"/>
    <x v="5"/>
    <x v="1"/>
    <x v="0"/>
    <n v="7"/>
    <x v="5"/>
    <n v="5"/>
    <n v="18000"/>
    <n v="85932"/>
    <n v="67932"/>
    <x v="2"/>
  </r>
  <r>
    <n v="103"/>
    <x v="6"/>
    <x v="1"/>
    <x v="5"/>
    <n v="6.8"/>
    <x v="5"/>
    <n v="5"/>
    <n v="14850"/>
    <n v="58031.999999999993"/>
    <n v="43181.999999999993"/>
    <x v="2"/>
  </r>
  <r>
    <n v="104"/>
    <x v="7"/>
    <x v="1"/>
    <x v="6"/>
    <n v="7.9"/>
    <x v="5"/>
    <n v="5"/>
    <n v="16200"/>
    <n v="76860"/>
    <n v="60660"/>
    <x v="2"/>
  </r>
  <r>
    <n v="105"/>
    <x v="8"/>
    <x v="1"/>
    <x v="0"/>
    <n v="6.8"/>
    <x v="5"/>
    <n v="5"/>
    <n v="22500"/>
    <n v="60300"/>
    <n v="37800"/>
    <x v="2"/>
  </r>
  <r>
    <n v="110"/>
    <x v="9"/>
    <x v="0"/>
    <x v="7"/>
    <n v="7.2"/>
    <x v="4"/>
    <n v="1"/>
    <n v="1.4"/>
    <n v="3.5"/>
    <n v="2.1"/>
    <x v="1"/>
  </r>
  <r>
    <n v="111"/>
    <x v="10"/>
    <x v="1"/>
    <x v="8"/>
    <n v="8"/>
    <x v="6"/>
    <n v="5"/>
    <n v="2250"/>
    <n v="6597"/>
    <n v="4347"/>
    <x v="2"/>
  </r>
  <r>
    <n v="112"/>
    <x v="11"/>
    <x v="1"/>
    <x v="9"/>
    <n v="8.8000000000000007"/>
    <x v="7"/>
    <n v="5"/>
    <n v="0"/>
    <n v="0"/>
    <n v="0"/>
    <x v="2"/>
  </r>
  <r>
    <n v="113"/>
    <x v="12"/>
    <x v="1"/>
    <x v="10"/>
    <n v="8.6"/>
    <x v="7"/>
    <n v="5"/>
    <n v="14850"/>
    <n v="63161.999999999993"/>
    <n v="48311.999999999993"/>
    <x v="2"/>
  </r>
  <r>
    <n v="115"/>
    <x v="13"/>
    <x v="1"/>
    <x v="11"/>
    <n v="8"/>
    <x v="8"/>
    <n v="5"/>
    <n v="4950"/>
    <n v="27639.000000000004"/>
    <n v="22689.000000000004"/>
    <x v="2"/>
  </r>
  <r>
    <n v="116"/>
    <x v="14"/>
    <x v="1"/>
    <x v="12"/>
    <n v="8.5"/>
    <x v="9"/>
    <n v="5"/>
    <n v="9270"/>
    <n v="41445"/>
    <n v="32175"/>
    <x v="2"/>
  </r>
  <r>
    <n v="117"/>
    <x v="15"/>
    <x v="1"/>
    <x v="13"/>
    <n v="7.9"/>
    <x v="10"/>
    <n v="5"/>
    <n v="18000"/>
    <n v="198180"/>
    <n v="180180"/>
    <x v="2"/>
  </r>
  <r>
    <n v="118"/>
    <x v="16"/>
    <x v="1"/>
    <x v="14"/>
    <n v="8.6"/>
    <x v="11"/>
    <n v="5"/>
    <n v="286.2"/>
    <n v="297"/>
    <n v="10.800000000000011"/>
    <x v="2"/>
  </r>
  <r>
    <n v="119"/>
    <x v="17"/>
    <x v="1"/>
    <x v="3"/>
    <n v="7.8"/>
    <x v="12"/>
    <n v="5"/>
    <n v="21330"/>
    <n v="256230"/>
    <n v="234900"/>
    <x v="2"/>
  </r>
  <r>
    <n v="120"/>
    <x v="18"/>
    <x v="1"/>
    <x v="15"/>
    <n v="9.1999999999999993"/>
    <x v="10"/>
    <n v="5"/>
    <n v="648"/>
    <n v="26190"/>
    <n v="25542"/>
    <x v="2"/>
  </r>
  <r>
    <n v="121"/>
    <x v="19"/>
    <x v="1"/>
    <x v="16"/>
    <n v="9"/>
    <x v="13"/>
    <n v="5"/>
    <n v="16650"/>
    <n v="90540"/>
    <n v="73890"/>
    <x v="2"/>
  </r>
  <r>
    <n v="122"/>
    <x v="20"/>
    <x v="1"/>
    <x v="17"/>
    <n v="9"/>
    <x v="9"/>
    <n v="5"/>
    <n v="1980"/>
    <n v="28998"/>
    <n v="27018"/>
    <x v="2"/>
  </r>
  <r>
    <n v="123"/>
    <x v="21"/>
    <x v="1"/>
    <x v="17"/>
    <n v="8.1999999999999993"/>
    <x v="9"/>
    <n v="5"/>
    <n v="5670"/>
    <n v="94140"/>
    <n v="88470"/>
    <x v="2"/>
  </r>
  <r>
    <n v="124"/>
    <x v="22"/>
    <x v="1"/>
    <x v="18"/>
    <n v="8.5"/>
    <x v="4"/>
    <n v="5"/>
    <n v="1395"/>
    <n v="23679.000000000004"/>
    <n v="22284.000000000004"/>
    <x v="2"/>
  </r>
  <r>
    <n v="125"/>
    <x v="23"/>
    <x v="1"/>
    <x v="18"/>
    <n v="8.4"/>
    <x v="5"/>
    <n v="5"/>
    <n v="36000"/>
    <n v="251820"/>
    <n v="215820"/>
    <x v="2"/>
  </r>
  <r>
    <n v="126"/>
    <x v="24"/>
    <x v="1"/>
    <x v="19"/>
    <n v="8.4"/>
    <x v="5"/>
    <n v="5"/>
    <n v="36000"/>
    <n v="184320"/>
    <n v="148320"/>
    <x v="2"/>
  </r>
  <r>
    <n v="127"/>
    <x v="25"/>
    <x v="0"/>
    <x v="20"/>
    <n v="8.3000000000000007"/>
    <x v="14"/>
    <n v="7"/>
    <n v="70"/>
    <n v="100"/>
    <n v="30"/>
    <x v="3"/>
  </r>
  <r>
    <n v="128"/>
    <x v="26"/>
    <x v="0"/>
    <x v="21"/>
    <n v="8.3000000000000007"/>
    <x v="4"/>
    <n v="1"/>
    <n v="120"/>
    <n v="1350"/>
    <n v="1230"/>
    <x v="1"/>
  </r>
  <r>
    <n v="129"/>
    <x v="27"/>
    <x v="0"/>
    <x v="22"/>
    <n v="8.1"/>
    <x v="15"/>
    <n v="1"/>
    <n v="100"/>
    <n v="410"/>
    <n v="310"/>
    <x v="1"/>
  </r>
  <r>
    <n v="130"/>
    <x v="28"/>
    <x v="0"/>
    <x v="10"/>
    <n v="8.1"/>
    <x v="3"/>
    <n v="1"/>
    <n v="850"/>
    <n v="8540"/>
    <n v="7690"/>
    <x v="1"/>
  </r>
  <r>
    <n v="131"/>
    <x v="29"/>
    <x v="0"/>
    <x v="19"/>
    <n v="8"/>
    <x v="3"/>
    <n v="1"/>
    <n v="1"/>
    <n v="5.9"/>
    <n v="4.9000000000000004"/>
    <x v="1"/>
  </r>
  <r>
    <n v="132"/>
    <x v="30"/>
    <x v="0"/>
    <x v="23"/>
    <n v="7.6"/>
    <x v="16"/>
    <n v="2"/>
    <n v="2"/>
    <n v="3.6"/>
    <n v="1.6"/>
    <x v="4"/>
  </r>
  <r>
    <n v="133"/>
    <x v="31"/>
    <x v="0"/>
    <x v="0"/>
    <n v="8"/>
    <x v="17"/>
    <n v="2"/>
    <n v="5.5"/>
    <n v="12"/>
    <n v="6.5"/>
    <x v="4"/>
  </r>
  <r>
    <n v="134"/>
    <x v="32"/>
    <x v="0"/>
    <x v="7"/>
    <n v="8"/>
    <x v="18"/>
    <n v="2"/>
    <n v="1.8"/>
    <n v="6.5"/>
    <n v="4.7"/>
    <x v="4"/>
  </r>
  <r>
    <n v="135"/>
    <x v="33"/>
    <x v="0"/>
    <x v="0"/>
    <n v="8.3000000000000007"/>
    <x v="19"/>
    <n v="1"/>
    <n v="250"/>
    <n v="3409"/>
    <n v="3159"/>
    <x v="1"/>
  </r>
  <r>
    <n v="136"/>
    <x v="34"/>
    <x v="0"/>
    <x v="7"/>
    <n v="8.1"/>
    <x v="20"/>
    <n v="1"/>
    <n v="900"/>
    <n v="11690"/>
    <n v="10790"/>
    <x v="1"/>
  </r>
  <r>
    <n v="137"/>
    <x v="35"/>
    <x v="1"/>
    <x v="24"/>
    <n v="6.9"/>
    <x v="5"/>
    <n v="5"/>
    <n v="19503"/>
    <n v="33354"/>
    <n v="13851"/>
    <x v="2"/>
  </r>
  <r>
    <n v="138"/>
    <x v="36"/>
    <x v="1"/>
    <x v="10"/>
    <n v="7.8"/>
    <x v="5"/>
    <n v="5"/>
    <n v="15930"/>
    <n v="64296"/>
    <n v="48366"/>
    <x v="2"/>
  </r>
  <r>
    <n v="139"/>
    <x v="37"/>
    <x v="0"/>
    <x v="19"/>
    <n v="1.9"/>
    <x v="20"/>
    <n v="1"/>
    <n v="1.8"/>
    <n v="3.1"/>
    <n v="1.3"/>
    <x v="1"/>
  </r>
  <r>
    <n v="140"/>
    <x v="38"/>
    <x v="0"/>
    <x v="23"/>
    <n v="8.4"/>
    <x v="21"/>
    <n v="1"/>
    <n v="500"/>
    <n v="950"/>
    <n v="45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3FC854-50E0-49C1-8C46-71FA5D221562}" name="PivotTable10"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M28:N34" firstHeaderRow="1" firstDataRow="1" firstDataCol="1"/>
  <pivotFields count="11">
    <pivotField showAll="0"/>
    <pivotField showAll="0"/>
    <pivotField showAll="0"/>
    <pivotField showAll="0"/>
    <pivotField showAll="0"/>
    <pivotField axis="axisRow" showAll="0" measureFilter="1">
      <items count="23">
        <item x="12"/>
        <item x="18"/>
        <item x="6"/>
        <item x="8"/>
        <item x="21"/>
        <item x="17"/>
        <item x="14"/>
        <item x="0"/>
        <item x="11"/>
        <item x="5"/>
        <item x="16"/>
        <item x="4"/>
        <item x="10"/>
        <item x="20"/>
        <item x="13"/>
        <item x="1"/>
        <item x="9"/>
        <item x="3"/>
        <item x="15"/>
        <item x="7"/>
        <item x="2"/>
        <item x="19"/>
        <item t="default"/>
      </items>
    </pivotField>
    <pivotField showAll="0"/>
    <pivotField showAll="0"/>
    <pivotField showAll="0"/>
    <pivotField dataField="1" showAll="0"/>
    <pivotField showAll="0">
      <items count="6">
        <item x="3"/>
        <item x="2"/>
        <item x="1"/>
        <item x="0"/>
        <item x="4"/>
        <item t="default"/>
      </items>
    </pivotField>
  </pivotFields>
  <rowFields count="1">
    <field x="5"/>
  </rowFields>
  <rowItems count="6">
    <i>
      <x/>
    </i>
    <i>
      <x v="9"/>
    </i>
    <i>
      <x v="12"/>
    </i>
    <i>
      <x v="14"/>
    </i>
    <i>
      <x v="16"/>
    </i>
    <i t="grand">
      <x/>
    </i>
  </rowItems>
  <colItems count="1">
    <i/>
  </colItems>
  <dataFields count="1">
    <dataField name="Sum of    profit" fld="9" baseField="0" baseItem="0"/>
  </dataFields>
  <chartFormats count="9">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5" count="1" selected="0">
            <x v="0"/>
          </reference>
        </references>
      </pivotArea>
    </chartFormat>
    <chartFormat chart="7" format="9">
      <pivotArea type="data" outline="0" fieldPosition="0">
        <references count="2">
          <reference field="4294967294" count="1" selected="0">
            <x v="0"/>
          </reference>
          <reference field="5" count="1" selected="0">
            <x v="9"/>
          </reference>
        </references>
      </pivotArea>
    </chartFormat>
    <chartFormat chart="7" format="10">
      <pivotArea type="data" outline="0" fieldPosition="0">
        <references count="2">
          <reference field="4294967294" count="1" selected="0">
            <x v="0"/>
          </reference>
          <reference field="5" count="1" selected="0">
            <x v="12"/>
          </reference>
        </references>
      </pivotArea>
    </chartFormat>
    <chartFormat chart="7" format="11">
      <pivotArea type="data" outline="0" fieldPosition="0">
        <references count="2">
          <reference field="4294967294" count="1" selected="0">
            <x v="0"/>
          </reference>
          <reference field="5" count="1" selected="0">
            <x v="14"/>
          </reference>
        </references>
      </pivotArea>
    </chartFormat>
    <chartFormat chart="7" format="12">
      <pivotArea type="data" outline="0" fieldPosition="0">
        <references count="2">
          <reference field="4294967294" count="1" selected="0">
            <x v="0"/>
          </reference>
          <reference field="5" count="1" selected="0">
            <x v="16"/>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C5A1EC-3309-488C-B8F7-82A714A7AAC0}" name="PivotTable9"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9">
  <location ref="T4:U7" firstHeaderRow="1" firstDataRow="1" firstDataCol="1"/>
  <pivotFields count="11">
    <pivotField showAll="0"/>
    <pivotField showAll="0"/>
    <pivotField axis="axisRow" showAll="0">
      <items count="3">
        <item x="0"/>
        <item x="1"/>
        <item t="default"/>
      </items>
    </pivotField>
    <pivotField showAll="0"/>
    <pivotField showAll="0"/>
    <pivotField showAll="0"/>
    <pivotField showAll="0"/>
    <pivotField showAll="0"/>
    <pivotField showAll="0"/>
    <pivotField dataField="1" showAll="0"/>
    <pivotField showAll="0">
      <items count="6">
        <item x="3"/>
        <item x="2"/>
        <item x="1"/>
        <item x="0"/>
        <item x="4"/>
        <item t="default"/>
      </items>
    </pivotField>
  </pivotFields>
  <rowFields count="1">
    <field x="2"/>
  </rowFields>
  <rowItems count="3">
    <i>
      <x/>
    </i>
    <i>
      <x v="1"/>
    </i>
    <i t="grand">
      <x/>
    </i>
  </rowItems>
  <colItems count="1">
    <i/>
  </colItems>
  <dataFields count="1">
    <dataField name="Sum of    profit" fld="9" baseField="0" baseItem="0"/>
  </dataFields>
  <chartFormats count="2">
    <chartFormat chart="6"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0D33ED-E88E-4BCA-B41D-6B14A8C0718B}" name="PivotTable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6">
  <location ref="M4:N18" firstHeaderRow="1" firstDataRow="1" firstDataCol="1"/>
  <pivotFields count="11">
    <pivotField showAll="0"/>
    <pivotField axis="axisRow" showAll="0" measureFilter="1" sortType="descending">
      <items count="40">
        <item x="15"/>
        <item x="6"/>
        <item x="7"/>
        <item x="8"/>
        <item x="10"/>
        <item x="13"/>
        <item x="33"/>
        <item x="18"/>
        <item x="19"/>
        <item x="26"/>
        <item x="1"/>
        <item x="38"/>
        <item x="20"/>
        <item x="29"/>
        <item x="31"/>
        <item x="37"/>
        <item x="30"/>
        <item x="28"/>
        <item x="25"/>
        <item x="22"/>
        <item x="27"/>
        <item x="4"/>
        <item x="0"/>
        <item x="21"/>
        <item x="16"/>
        <item x="12"/>
        <item x="11"/>
        <item x="14"/>
        <item x="5"/>
        <item x="2"/>
        <item x="36"/>
        <item x="35"/>
        <item x="34"/>
        <item x="9"/>
        <item x="32"/>
        <item x="24"/>
        <item x="23"/>
        <item x="17"/>
        <item x="3"/>
        <item t="default"/>
      </items>
    </pivotField>
    <pivotField showAll="0"/>
    <pivotField showAll="0"/>
    <pivotField dataField="1" showAll="0"/>
    <pivotField showAll="0"/>
    <pivotField showAll="0"/>
    <pivotField showAll="0"/>
    <pivotField showAll="0"/>
    <pivotField showAll="0"/>
    <pivotField showAll="0">
      <items count="6">
        <item x="3"/>
        <item x="2"/>
        <item x="1"/>
        <item x="0"/>
        <item x="4"/>
        <item t="default"/>
      </items>
    </pivotField>
  </pivotFields>
  <rowFields count="1">
    <field x="1"/>
  </rowFields>
  <rowItems count="14">
    <i>
      <x v="7"/>
    </i>
    <i>
      <x v="8"/>
    </i>
    <i>
      <x v="11"/>
    </i>
    <i>
      <x v="12"/>
    </i>
    <i>
      <x v="19"/>
    </i>
    <i>
      <x v="22"/>
    </i>
    <i>
      <x v="24"/>
    </i>
    <i>
      <x v="25"/>
    </i>
    <i>
      <x v="26"/>
    </i>
    <i>
      <x v="27"/>
    </i>
    <i>
      <x v="35"/>
    </i>
    <i>
      <x v="36"/>
    </i>
    <i>
      <x v="38"/>
    </i>
    <i t="grand">
      <x/>
    </i>
  </rowItems>
  <colItems count="1">
    <i/>
  </colItems>
  <dataFields count="1">
    <dataField name="Sum of imdb_rating" fld="4"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C07B3E-C1D7-4900-B02A-9CA224575D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43" firstHeaderRow="1" firstDataRow="1" firstDataCol="1"/>
  <pivotFields count="11">
    <pivotField showAll="0"/>
    <pivotField axis="axisRow" showAll="0">
      <items count="40">
        <item x="3"/>
        <item x="17"/>
        <item x="23"/>
        <item x="24"/>
        <item x="32"/>
        <item x="9"/>
        <item x="34"/>
        <item x="35"/>
        <item x="36"/>
        <item x="2"/>
        <item x="5"/>
        <item x="14"/>
        <item x="11"/>
        <item x="12"/>
        <item x="16"/>
        <item x="21"/>
        <item x="0"/>
        <item x="4"/>
        <item x="27"/>
        <item x="22"/>
        <item x="25"/>
        <item x="28"/>
        <item x="30"/>
        <item x="37"/>
        <item x="31"/>
        <item x="29"/>
        <item x="20"/>
        <item x="38"/>
        <item x="1"/>
        <item x="26"/>
        <item x="19"/>
        <item x="18"/>
        <item x="33"/>
        <item x="13"/>
        <item x="10"/>
        <item x="8"/>
        <item x="7"/>
        <item x="6"/>
        <item x="15"/>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Count of    profit" fld="9"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7565E2-A63D-44A4-A20A-DFC5D9B119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3" firstHeaderRow="1" firstDataRow="1" firstDataCol="1"/>
  <pivotFields count="11">
    <pivotField showAll="0"/>
    <pivotField axis="axisRow" showAll="0">
      <items count="40">
        <item x="3"/>
        <item x="17"/>
        <item x="23"/>
        <item x="24"/>
        <item x="32"/>
        <item x="9"/>
        <item x="34"/>
        <item x="35"/>
        <item x="36"/>
        <item x="2"/>
        <item x="5"/>
        <item x="14"/>
        <item x="11"/>
        <item x="12"/>
        <item x="16"/>
        <item x="21"/>
        <item x="0"/>
        <item x="4"/>
        <item x="27"/>
        <item x="22"/>
        <item x="25"/>
        <item x="28"/>
        <item x="30"/>
        <item x="37"/>
        <item x="31"/>
        <item x="29"/>
        <item x="20"/>
        <item x="38"/>
        <item x="1"/>
        <item x="26"/>
        <item x="19"/>
        <item x="18"/>
        <item x="33"/>
        <item x="13"/>
        <item x="10"/>
        <item x="8"/>
        <item x="7"/>
        <item x="6"/>
        <item x="15"/>
        <item t="default"/>
      </items>
    </pivotField>
    <pivotField showAll="0"/>
    <pivotField showAll="0"/>
    <pivotField showAll="0"/>
    <pivotField showAll="0">
      <items count="23">
        <item x="12"/>
        <item x="18"/>
        <item x="6"/>
        <item x="8"/>
        <item x="21"/>
        <item x="17"/>
        <item x="14"/>
        <item x="0"/>
        <item x="11"/>
        <item x="5"/>
        <item x="16"/>
        <item x="4"/>
        <item x="10"/>
        <item x="20"/>
        <item x="13"/>
        <item x="1"/>
        <item x="9"/>
        <item x="3"/>
        <item x="15"/>
        <item x="7"/>
        <item x="2"/>
        <item x="19"/>
        <item t="default"/>
      </items>
    </pivotField>
    <pivotField showAll="0"/>
    <pivotField showAll="0"/>
    <pivotField showAll="0"/>
    <pivotField dataField="1" showAll="0"/>
    <pivotField showAll="0"/>
  </pivotFields>
  <rowFields count="1">
    <field x="1"/>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861EA4-3519-4826-BBB8-7A01FFD2B50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4:P7" firstHeaderRow="1" firstDataRow="1" firstDataCol="1"/>
  <pivotFields count="11">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items count="6">
        <item x="3"/>
        <item x="2"/>
        <item x="1"/>
        <item x="0"/>
        <item x="4"/>
        <item t="default"/>
      </items>
    </pivotField>
  </pivotFields>
  <rowFields count="1">
    <field x="2"/>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AC31C2-E94E-49BE-ACFC-222466E3DAEA}" name="PivotTable6"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7">
  <location ref="J13:K39" firstHeaderRow="1" firstDataRow="1" firstDataCol="1"/>
  <pivotFields count="11">
    <pivotField showAll="0"/>
    <pivotField showAll="0"/>
    <pivotField showAll="0">
      <items count="3">
        <item x="0"/>
        <item x="1"/>
        <item t="default"/>
      </items>
    </pivotField>
    <pivotField axis="axisRow" showAll="0">
      <items count="26">
        <item x="14"/>
        <item x="20"/>
        <item x="15"/>
        <item x="1"/>
        <item x="17"/>
        <item x="8"/>
        <item x="2"/>
        <item x="13"/>
        <item x="12"/>
        <item x="4"/>
        <item x="22"/>
        <item x="11"/>
        <item x="21"/>
        <item x="16"/>
        <item x="3"/>
        <item x="9"/>
        <item x="24"/>
        <item x="5"/>
        <item x="10"/>
        <item x="7"/>
        <item x="6"/>
        <item x="19"/>
        <item x="18"/>
        <item x="23"/>
        <item x="0"/>
        <item t="default"/>
      </items>
    </pivotField>
    <pivotField showAll="0"/>
    <pivotField showAll="0"/>
    <pivotField showAll="0"/>
    <pivotField showAll="0"/>
    <pivotField dataField="1" showAll="0"/>
    <pivotField showAll="0"/>
    <pivotField showAll="0">
      <items count="6">
        <item x="3"/>
        <item x="2"/>
        <item x="1"/>
        <item x="0"/>
        <item x="4"/>
        <item t="default"/>
      </items>
    </pivotField>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revenue" fld="8" baseField="0" baseItem="0"/>
  </dataFields>
  <chartFormats count="78">
    <chartFormat chart="13"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3" count="1" selected="0">
            <x v="0"/>
          </reference>
        </references>
      </pivotArea>
    </chartFormat>
    <chartFormat chart="15" format="3">
      <pivotArea type="data" outline="0" fieldPosition="0">
        <references count="2">
          <reference field="4294967294" count="1" selected="0">
            <x v="0"/>
          </reference>
          <reference field="3" count="1" selected="0">
            <x v="1"/>
          </reference>
        </references>
      </pivotArea>
    </chartFormat>
    <chartFormat chart="15" format="4">
      <pivotArea type="data" outline="0" fieldPosition="0">
        <references count="2">
          <reference field="4294967294" count="1" selected="0">
            <x v="0"/>
          </reference>
          <reference field="3" count="1" selected="0">
            <x v="2"/>
          </reference>
        </references>
      </pivotArea>
    </chartFormat>
    <chartFormat chart="15" format="5">
      <pivotArea type="data" outline="0" fieldPosition="0">
        <references count="2">
          <reference field="4294967294" count="1" selected="0">
            <x v="0"/>
          </reference>
          <reference field="3" count="1" selected="0">
            <x v="3"/>
          </reference>
        </references>
      </pivotArea>
    </chartFormat>
    <chartFormat chart="15" format="6">
      <pivotArea type="data" outline="0" fieldPosition="0">
        <references count="2">
          <reference field="4294967294" count="1" selected="0">
            <x v="0"/>
          </reference>
          <reference field="3" count="1" selected="0">
            <x v="4"/>
          </reference>
        </references>
      </pivotArea>
    </chartFormat>
    <chartFormat chart="15" format="7">
      <pivotArea type="data" outline="0" fieldPosition="0">
        <references count="2">
          <reference field="4294967294" count="1" selected="0">
            <x v="0"/>
          </reference>
          <reference field="3" count="1" selected="0">
            <x v="5"/>
          </reference>
        </references>
      </pivotArea>
    </chartFormat>
    <chartFormat chart="15" format="8">
      <pivotArea type="data" outline="0" fieldPosition="0">
        <references count="2">
          <reference field="4294967294" count="1" selected="0">
            <x v="0"/>
          </reference>
          <reference field="3" count="1" selected="0">
            <x v="6"/>
          </reference>
        </references>
      </pivotArea>
    </chartFormat>
    <chartFormat chart="15" format="9">
      <pivotArea type="data" outline="0" fieldPosition="0">
        <references count="2">
          <reference field="4294967294" count="1" selected="0">
            <x v="0"/>
          </reference>
          <reference field="3" count="1" selected="0">
            <x v="7"/>
          </reference>
        </references>
      </pivotArea>
    </chartFormat>
    <chartFormat chart="15" format="10">
      <pivotArea type="data" outline="0" fieldPosition="0">
        <references count="2">
          <reference field="4294967294" count="1" selected="0">
            <x v="0"/>
          </reference>
          <reference field="3" count="1" selected="0">
            <x v="8"/>
          </reference>
        </references>
      </pivotArea>
    </chartFormat>
    <chartFormat chart="15" format="11">
      <pivotArea type="data" outline="0" fieldPosition="0">
        <references count="2">
          <reference field="4294967294" count="1" selected="0">
            <x v="0"/>
          </reference>
          <reference field="3" count="1" selected="0">
            <x v="9"/>
          </reference>
        </references>
      </pivotArea>
    </chartFormat>
    <chartFormat chart="15" format="12">
      <pivotArea type="data" outline="0" fieldPosition="0">
        <references count="2">
          <reference field="4294967294" count="1" selected="0">
            <x v="0"/>
          </reference>
          <reference field="3" count="1" selected="0">
            <x v="10"/>
          </reference>
        </references>
      </pivotArea>
    </chartFormat>
    <chartFormat chart="15" format="13">
      <pivotArea type="data" outline="0" fieldPosition="0">
        <references count="2">
          <reference field="4294967294" count="1" selected="0">
            <x v="0"/>
          </reference>
          <reference field="3" count="1" selected="0">
            <x v="11"/>
          </reference>
        </references>
      </pivotArea>
    </chartFormat>
    <chartFormat chart="15" format="14">
      <pivotArea type="data" outline="0" fieldPosition="0">
        <references count="2">
          <reference field="4294967294" count="1" selected="0">
            <x v="0"/>
          </reference>
          <reference field="3" count="1" selected="0">
            <x v="12"/>
          </reference>
        </references>
      </pivotArea>
    </chartFormat>
    <chartFormat chart="15" format="15">
      <pivotArea type="data" outline="0" fieldPosition="0">
        <references count="2">
          <reference field="4294967294" count="1" selected="0">
            <x v="0"/>
          </reference>
          <reference field="3" count="1" selected="0">
            <x v="13"/>
          </reference>
        </references>
      </pivotArea>
    </chartFormat>
    <chartFormat chart="15" format="16">
      <pivotArea type="data" outline="0" fieldPosition="0">
        <references count="2">
          <reference field="4294967294" count="1" selected="0">
            <x v="0"/>
          </reference>
          <reference field="3" count="1" selected="0">
            <x v="14"/>
          </reference>
        </references>
      </pivotArea>
    </chartFormat>
    <chartFormat chart="15" format="17">
      <pivotArea type="data" outline="0" fieldPosition="0">
        <references count="2">
          <reference field="4294967294" count="1" selected="0">
            <x v="0"/>
          </reference>
          <reference field="3" count="1" selected="0">
            <x v="15"/>
          </reference>
        </references>
      </pivotArea>
    </chartFormat>
    <chartFormat chart="15" format="18">
      <pivotArea type="data" outline="0" fieldPosition="0">
        <references count="2">
          <reference field="4294967294" count="1" selected="0">
            <x v="0"/>
          </reference>
          <reference field="3" count="1" selected="0">
            <x v="16"/>
          </reference>
        </references>
      </pivotArea>
    </chartFormat>
    <chartFormat chart="15" format="19">
      <pivotArea type="data" outline="0" fieldPosition="0">
        <references count="2">
          <reference field="4294967294" count="1" selected="0">
            <x v="0"/>
          </reference>
          <reference field="3" count="1" selected="0">
            <x v="17"/>
          </reference>
        </references>
      </pivotArea>
    </chartFormat>
    <chartFormat chart="15" format="20">
      <pivotArea type="data" outline="0" fieldPosition="0">
        <references count="2">
          <reference field="4294967294" count="1" selected="0">
            <x v="0"/>
          </reference>
          <reference field="3" count="1" selected="0">
            <x v="18"/>
          </reference>
        </references>
      </pivotArea>
    </chartFormat>
    <chartFormat chart="15" format="21">
      <pivotArea type="data" outline="0" fieldPosition="0">
        <references count="2">
          <reference field="4294967294" count="1" selected="0">
            <x v="0"/>
          </reference>
          <reference field="3" count="1" selected="0">
            <x v="19"/>
          </reference>
        </references>
      </pivotArea>
    </chartFormat>
    <chartFormat chart="15" format="22">
      <pivotArea type="data" outline="0" fieldPosition="0">
        <references count="2">
          <reference field="4294967294" count="1" selected="0">
            <x v="0"/>
          </reference>
          <reference field="3" count="1" selected="0">
            <x v="20"/>
          </reference>
        </references>
      </pivotArea>
    </chartFormat>
    <chartFormat chart="15" format="23">
      <pivotArea type="data" outline="0" fieldPosition="0">
        <references count="2">
          <reference field="4294967294" count="1" selected="0">
            <x v="0"/>
          </reference>
          <reference field="3" count="1" selected="0">
            <x v="21"/>
          </reference>
        </references>
      </pivotArea>
    </chartFormat>
    <chartFormat chart="15" format="24">
      <pivotArea type="data" outline="0" fieldPosition="0">
        <references count="2">
          <reference field="4294967294" count="1" selected="0">
            <x v="0"/>
          </reference>
          <reference field="3" count="1" selected="0">
            <x v="22"/>
          </reference>
        </references>
      </pivotArea>
    </chartFormat>
    <chartFormat chart="15" format="25">
      <pivotArea type="data" outline="0" fieldPosition="0">
        <references count="2">
          <reference field="4294967294" count="1" selected="0">
            <x v="0"/>
          </reference>
          <reference field="3" count="1" selected="0">
            <x v="23"/>
          </reference>
        </references>
      </pivotArea>
    </chartFormat>
    <chartFormat chart="15" format="26">
      <pivotArea type="data" outline="0" fieldPosition="0">
        <references count="2">
          <reference field="4294967294" count="1" selected="0">
            <x v="0"/>
          </reference>
          <reference field="3" count="1" selected="0">
            <x v="24"/>
          </reference>
        </references>
      </pivotArea>
    </chartFormat>
    <chartFormat chart="16" format="27" series="1">
      <pivotArea type="data" outline="0" fieldPosition="0">
        <references count="1">
          <reference field="4294967294" count="1" selected="0">
            <x v="0"/>
          </reference>
        </references>
      </pivotArea>
    </chartFormat>
    <chartFormat chart="16" format="28">
      <pivotArea type="data" outline="0" fieldPosition="0">
        <references count="2">
          <reference field="4294967294" count="1" selected="0">
            <x v="0"/>
          </reference>
          <reference field="3" count="1" selected="0">
            <x v="0"/>
          </reference>
        </references>
      </pivotArea>
    </chartFormat>
    <chartFormat chart="16" format="29">
      <pivotArea type="data" outline="0" fieldPosition="0">
        <references count="2">
          <reference field="4294967294" count="1" selected="0">
            <x v="0"/>
          </reference>
          <reference field="3" count="1" selected="0">
            <x v="1"/>
          </reference>
        </references>
      </pivotArea>
    </chartFormat>
    <chartFormat chart="16" format="30">
      <pivotArea type="data" outline="0" fieldPosition="0">
        <references count="2">
          <reference field="4294967294" count="1" selected="0">
            <x v="0"/>
          </reference>
          <reference field="3" count="1" selected="0">
            <x v="2"/>
          </reference>
        </references>
      </pivotArea>
    </chartFormat>
    <chartFormat chart="16" format="31">
      <pivotArea type="data" outline="0" fieldPosition="0">
        <references count="2">
          <reference field="4294967294" count="1" selected="0">
            <x v="0"/>
          </reference>
          <reference field="3" count="1" selected="0">
            <x v="3"/>
          </reference>
        </references>
      </pivotArea>
    </chartFormat>
    <chartFormat chart="16" format="32">
      <pivotArea type="data" outline="0" fieldPosition="0">
        <references count="2">
          <reference field="4294967294" count="1" selected="0">
            <x v="0"/>
          </reference>
          <reference field="3" count="1" selected="0">
            <x v="4"/>
          </reference>
        </references>
      </pivotArea>
    </chartFormat>
    <chartFormat chart="16" format="33">
      <pivotArea type="data" outline="0" fieldPosition="0">
        <references count="2">
          <reference field="4294967294" count="1" selected="0">
            <x v="0"/>
          </reference>
          <reference field="3" count="1" selected="0">
            <x v="5"/>
          </reference>
        </references>
      </pivotArea>
    </chartFormat>
    <chartFormat chart="16" format="34">
      <pivotArea type="data" outline="0" fieldPosition="0">
        <references count="2">
          <reference field="4294967294" count="1" selected="0">
            <x v="0"/>
          </reference>
          <reference field="3" count="1" selected="0">
            <x v="6"/>
          </reference>
        </references>
      </pivotArea>
    </chartFormat>
    <chartFormat chart="16" format="35">
      <pivotArea type="data" outline="0" fieldPosition="0">
        <references count="2">
          <reference field="4294967294" count="1" selected="0">
            <x v="0"/>
          </reference>
          <reference field="3" count="1" selected="0">
            <x v="7"/>
          </reference>
        </references>
      </pivotArea>
    </chartFormat>
    <chartFormat chart="16" format="36">
      <pivotArea type="data" outline="0" fieldPosition="0">
        <references count="2">
          <reference field="4294967294" count="1" selected="0">
            <x v="0"/>
          </reference>
          <reference field="3" count="1" selected="0">
            <x v="8"/>
          </reference>
        </references>
      </pivotArea>
    </chartFormat>
    <chartFormat chart="16" format="37">
      <pivotArea type="data" outline="0" fieldPosition="0">
        <references count="2">
          <reference field="4294967294" count="1" selected="0">
            <x v="0"/>
          </reference>
          <reference field="3" count="1" selected="0">
            <x v="9"/>
          </reference>
        </references>
      </pivotArea>
    </chartFormat>
    <chartFormat chart="16" format="38">
      <pivotArea type="data" outline="0" fieldPosition="0">
        <references count="2">
          <reference field="4294967294" count="1" selected="0">
            <x v="0"/>
          </reference>
          <reference field="3" count="1" selected="0">
            <x v="10"/>
          </reference>
        </references>
      </pivotArea>
    </chartFormat>
    <chartFormat chart="16" format="39">
      <pivotArea type="data" outline="0" fieldPosition="0">
        <references count="2">
          <reference field="4294967294" count="1" selected="0">
            <x v="0"/>
          </reference>
          <reference field="3" count="1" selected="0">
            <x v="11"/>
          </reference>
        </references>
      </pivotArea>
    </chartFormat>
    <chartFormat chart="16" format="40">
      <pivotArea type="data" outline="0" fieldPosition="0">
        <references count="2">
          <reference field="4294967294" count="1" selected="0">
            <x v="0"/>
          </reference>
          <reference field="3" count="1" selected="0">
            <x v="12"/>
          </reference>
        </references>
      </pivotArea>
    </chartFormat>
    <chartFormat chart="16" format="41">
      <pivotArea type="data" outline="0" fieldPosition="0">
        <references count="2">
          <reference field="4294967294" count="1" selected="0">
            <x v="0"/>
          </reference>
          <reference field="3" count="1" selected="0">
            <x v="13"/>
          </reference>
        </references>
      </pivotArea>
    </chartFormat>
    <chartFormat chart="16" format="42">
      <pivotArea type="data" outline="0" fieldPosition="0">
        <references count="2">
          <reference field="4294967294" count="1" selected="0">
            <x v="0"/>
          </reference>
          <reference field="3" count="1" selected="0">
            <x v="14"/>
          </reference>
        </references>
      </pivotArea>
    </chartFormat>
    <chartFormat chart="16" format="43">
      <pivotArea type="data" outline="0" fieldPosition="0">
        <references count="2">
          <reference field="4294967294" count="1" selected="0">
            <x v="0"/>
          </reference>
          <reference field="3" count="1" selected="0">
            <x v="15"/>
          </reference>
        </references>
      </pivotArea>
    </chartFormat>
    <chartFormat chart="16" format="44">
      <pivotArea type="data" outline="0" fieldPosition="0">
        <references count="2">
          <reference field="4294967294" count="1" selected="0">
            <x v="0"/>
          </reference>
          <reference field="3" count="1" selected="0">
            <x v="16"/>
          </reference>
        </references>
      </pivotArea>
    </chartFormat>
    <chartFormat chart="16" format="45">
      <pivotArea type="data" outline="0" fieldPosition="0">
        <references count="2">
          <reference field="4294967294" count="1" selected="0">
            <x v="0"/>
          </reference>
          <reference field="3" count="1" selected="0">
            <x v="17"/>
          </reference>
        </references>
      </pivotArea>
    </chartFormat>
    <chartFormat chart="16" format="46">
      <pivotArea type="data" outline="0" fieldPosition="0">
        <references count="2">
          <reference field="4294967294" count="1" selected="0">
            <x v="0"/>
          </reference>
          <reference field="3" count="1" selected="0">
            <x v="18"/>
          </reference>
        </references>
      </pivotArea>
    </chartFormat>
    <chartFormat chart="16" format="47">
      <pivotArea type="data" outline="0" fieldPosition="0">
        <references count="2">
          <reference field="4294967294" count="1" selected="0">
            <x v="0"/>
          </reference>
          <reference field="3" count="1" selected="0">
            <x v="19"/>
          </reference>
        </references>
      </pivotArea>
    </chartFormat>
    <chartFormat chart="16" format="48">
      <pivotArea type="data" outline="0" fieldPosition="0">
        <references count="2">
          <reference field="4294967294" count="1" selected="0">
            <x v="0"/>
          </reference>
          <reference field="3" count="1" selected="0">
            <x v="20"/>
          </reference>
        </references>
      </pivotArea>
    </chartFormat>
    <chartFormat chart="16" format="49">
      <pivotArea type="data" outline="0" fieldPosition="0">
        <references count="2">
          <reference field="4294967294" count="1" selected="0">
            <x v="0"/>
          </reference>
          <reference field="3" count="1" selected="0">
            <x v="21"/>
          </reference>
        </references>
      </pivotArea>
    </chartFormat>
    <chartFormat chart="16" format="50">
      <pivotArea type="data" outline="0" fieldPosition="0">
        <references count="2">
          <reference field="4294967294" count="1" selected="0">
            <x v="0"/>
          </reference>
          <reference field="3" count="1" selected="0">
            <x v="22"/>
          </reference>
        </references>
      </pivotArea>
    </chartFormat>
    <chartFormat chart="16" format="51">
      <pivotArea type="data" outline="0" fieldPosition="0">
        <references count="2">
          <reference field="4294967294" count="1" selected="0">
            <x v="0"/>
          </reference>
          <reference field="3" count="1" selected="0">
            <x v="23"/>
          </reference>
        </references>
      </pivotArea>
    </chartFormat>
    <chartFormat chart="16" format="52">
      <pivotArea type="data" outline="0" fieldPosition="0">
        <references count="2">
          <reference field="4294967294" count="1" selected="0">
            <x v="0"/>
          </reference>
          <reference field="3" count="1" selected="0">
            <x v="24"/>
          </reference>
        </references>
      </pivotArea>
    </chartFormat>
    <chartFormat chart="13" format="1">
      <pivotArea type="data" outline="0" fieldPosition="0">
        <references count="2">
          <reference field="4294967294" count="1" selected="0">
            <x v="0"/>
          </reference>
          <reference field="3" count="1" selected="0">
            <x v="0"/>
          </reference>
        </references>
      </pivotArea>
    </chartFormat>
    <chartFormat chart="13" format="2">
      <pivotArea type="data" outline="0" fieldPosition="0">
        <references count="2">
          <reference field="4294967294" count="1" selected="0">
            <x v="0"/>
          </reference>
          <reference field="3" count="1" selected="0">
            <x v="1"/>
          </reference>
        </references>
      </pivotArea>
    </chartFormat>
    <chartFormat chart="13" format="3">
      <pivotArea type="data" outline="0" fieldPosition="0">
        <references count="2">
          <reference field="4294967294" count="1" selected="0">
            <x v="0"/>
          </reference>
          <reference field="3" count="1" selected="0">
            <x v="2"/>
          </reference>
        </references>
      </pivotArea>
    </chartFormat>
    <chartFormat chart="13" format="4">
      <pivotArea type="data" outline="0" fieldPosition="0">
        <references count="2">
          <reference field="4294967294" count="1" selected="0">
            <x v="0"/>
          </reference>
          <reference field="3" count="1" selected="0">
            <x v="3"/>
          </reference>
        </references>
      </pivotArea>
    </chartFormat>
    <chartFormat chart="13" format="5">
      <pivotArea type="data" outline="0" fieldPosition="0">
        <references count="2">
          <reference field="4294967294" count="1" selected="0">
            <x v="0"/>
          </reference>
          <reference field="3" count="1" selected="0">
            <x v="4"/>
          </reference>
        </references>
      </pivotArea>
    </chartFormat>
    <chartFormat chart="13" format="6">
      <pivotArea type="data" outline="0" fieldPosition="0">
        <references count="2">
          <reference field="4294967294" count="1" selected="0">
            <x v="0"/>
          </reference>
          <reference field="3" count="1" selected="0">
            <x v="5"/>
          </reference>
        </references>
      </pivotArea>
    </chartFormat>
    <chartFormat chart="13" format="7">
      <pivotArea type="data" outline="0" fieldPosition="0">
        <references count="2">
          <reference field="4294967294" count="1" selected="0">
            <x v="0"/>
          </reference>
          <reference field="3" count="1" selected="0">
            <x v="6"/>
          </reference>
        </references>
      </pivotArea>
    </chartFormat>
    <chartFormat chart="13" format="8">
      <pivotArea type="data" outline="0" fieldPosition="0">
        <references count="2">
          <reference field="4294967294" count="1" selected="0">
            <x v="0"/>
          </reference>
          <reference field="3" count="1" selected="0">
            <x v="7"/>
          </reference>
        </references>
      </pivotArea>
    </chartFormat>
    <chartFormat chart="13" format="9">
      <pivotArea type="data" outline="0" fieldPosition="0">
        <references count="2">
          <reference field="4294967294" count="1" selected="0">
            <x v="0"/>
          </reference>
          <reference field="3" count="1" selected="0">
            <x v="8"/>
          </reference>
        </references>
      </pivotArea>
    </chartFormat>
    <chartFormat chart="13" format="10">
      <pivotArea type="data" outline="0" fieldPosition="0">
        <references count="2">
          <reference field="4294967294" count="1" selected="0">
            <x v="0"/>
          </reference>
          <reference field="3" count="1" selected="0">
            <x v="9"/>
          </reference>
        </references>
      </pivotArea>
    </chartFormat>
    <chartFormat chart="13" format="11">
      <pivotArea type="data" outline="0" fieldPosition="0">
        <references count="2">
          <reference field="4294967294" count="1" selected="0">
            <x v="0"/>
          </reference>
          <reference field="3" count="1" selected="0">
            <x v="10"/>
          </reference>
        </references>
      </pivotArea>
    </chartFormat>
    <chartFormat chart="13" format="12">
      <pivotArea type="data" outline="0" fieldPosition="0">
        <references count="2">
          <reference field="4294967294" count="1" selected="0">
            <x v="0"/>
          </reference>
          <reference field="3" count="1" selected="0">
            <x v="11"/>
          </reference>
        </references>
      </pivotArea>
    </chartFormat>
    <chartFormat chart="13" format="13">
      <pivotArea type="data" outline="0" fieldPosition="0">
        <references count="2">
          <reference field="4294967294" count="1" selected="0">
            <x v="0"/>
          </reference>
          <reference field="3" count="1" selected="0">
            <x v="12"/>
          </reference>
        </references>
      </pivotArea>
    </chartFormat>
    <chartFormat chart="13" format="14">
      <pivotArea type="data" outline="0" fieldPosition="0">
        <references count="2">
          <reference field="4294967294" count="1" selected="0">
            <x v="0"/>
          </reference>
          <reference field="3" count="1" selected="0">
            <x v="13"/>
          </reference>
        </references>
      </pivotArea>
    </chartFormat>
    <chartFormat chart="13" format="15">
      <pivotArea type="data" outline="0" fieldPosition="0">
        <references count="2">
          <reference field="4294967294" count="1" selected="0">
            <x v="0"/>
          </reference>
          <reference field="3" count="1" selected="0">
            <x v="14"/>
          </reference>
        </references>
      </pivotArea>
    </chartFormat>
    <chartFormat chart="13" format="16">
      <pivotArea type="data" outline="0" fieldPosition="0">
        <references count="2">
          <reference field="4294967294" count="1" selected="0">
            <x v="0"/>
          </reference>
          <reference field="3" count="1" selected="0">
            <x v="15"/>
          </reference>
        </references>
      </pivotArea>
    </chartFormat>
    <chartFormat chart="13" format="17">
      <pivotArea type="data" outline="0" fieldPosition="0">
        <references count="2">
          <reference field="4294967294" count="1" selected="0">
            <x v="0"/>
          </reference>
          <reference field="3" count="1" selected="0">
            <x v="16"/>
          </reference>
        </references>
      </pivotArea>
    </chartFormat>
    <chartFormat chart="13" format="18">
      <pivotArea type="data" outline="0" fieldPosition="0">
        <references count="2">
          <reference field="4294967294" count="1" selected="0">
            <x v="0"/>
          </reference>
          <reference field="3" count="1" selected="0">
            <x v="17"/>
          </reference>
        </references>
      </pivotArea>
    </chartFormat>
    <chartFormat chart="13" format="19">
      <pivotArea type="data" outline="0" fieldPosition="0">
        <references count="2">
          <reference field="4294967294" count="1" selected="0">
            <x v="0"/>
          </reference>
          <reference field="3" count="1" selected="0">
            <x v="18"/>
          </reference>
        </references>
      </pivotArea>
    </chartFormat>
    <chartFormat chart="13" format="20">
      <pivotArea type="data" outline="0" fieldPosition="0">
        <references count="2">
          <reference field="4294967294" count="1" selected="0">
            <x v="0"/>
          </reference>
          <reference field="3" count="1" selected="0">
            <x v="19"/>
          </reference>
        </references>
      </pivotArea>
    </chartFormat>
    <chartFormat chart="13" format="21">
      <pivotArea type="data" outline="0" fieldPosition="0">
        <references count="2">
          <reference field="4294967294" count="1" selected="0">
            <x v="0"/>
          </reference>
          <reference field="3" count="1" selected="0">
            <x v="20"/>
          </reference>
        </references>
      </pivotArea>
    </chartFormat>
    <chartFormat chart="13" format="22">
      <pivotArea type="data" outline="0" fieldPosition="0">
        <references count="2">
          <reference field="4294967294" count="1" selected="0">
            <x v="0"/>
          </reference>
          <reference field="3" count="1" selected="0">
            <x v="21"/>
          </reference>
        </references>
      </pivotArea>
    </chartFormat>
    <chartFormat chart="13" format="23">
      <pivotArea type="data" outline="0" fieldPosition="0">
        <references count="2">
          <reference field="4294967294" count="1" selected="0">
            <x v="0"/>
          </reference>
          <reference field="3" count="1" selected="0">
            <x v="22"/>
          </reference>
        </references>
      </pivotArea>
    </chartFormat>
    <chartFormat chart="13" format="24">
      <pivotArea type="data" outline="0" fieldPosition="0">
        <references count="2">
          <reference field="4294967294" count="1" selected="0">
            <x v="0"/>
          </reference>
          <reference field="3" count="1" selected="0">
            <x v="23"/>
          </reference>
        </references>
      </pivotArea>
    </chartFormat>
    <chartFormat chart="13" format="25">
      <pivotArea type="data" outline="0" fieldPosition="0">
        <references count="2">
          <reference field="4294967294" count="1" selected="0">
            <x v="0"/>
          </reference>
          <reference field="3"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518522-B242-4B98-835D-85968CFA44A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4:K10" firstHeaderRow="1" firstDataRow="1" firstDataCol="1"/>
  <pivotFields count="11">
    <pivotField showAll="0"/>
    <pivotField showAll="0"/>
    <pivotField showAll="0"/>
    <pivotField showAll="0"/>
    <pivotField showAll="0"/>
    <pivotField showAll="0"/>
    <pivotField showAll="0"/>
    <pivotField showAll="0"/>
    <pivotField showAll="0"/>
    <pivotField dataField="1" showAll="0"/>
    <pivotField axis="axisRow" showAll="0">
      <items count="6">
        <item x="3"/>
        <item x="2"/>
        <item x="1"/>
        <item x="0"/>
        <item x="4"/>
        <item t="default"/>
      </items>
    </pivotField>
  </pivotFields>
  <rowFields count="1">
    <field x="10"/>
  </rowFields>
  <rowItems count="6">
    <i>
      <x/>
    </i>
    <i>
      <x v="1"/>
    </i>
    <i>
      <x v="2"/>
    </i>
    <i>
      <x v="3"/>
    </i>
    <i>
      <x v="4"/>
    </i>
    <i t="grand">
      <x/>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D17A7B-DDD8-4697-B9C9-91895EB1139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43" firstHeaderRow="1" firstDataRow="1" firstDataCol="1"/>
  <pivotFields count="11">
    <pivotField showAll="0"/>
    <pivotField axis="axisRow" showAll="0">
      <items count="40">
        <item x="3"/>
        <item x="17"/>
        <item x="23"/>
        <item x="24"/>
        <item x="32"/>
        <item x="9"/>
        <item x="34"/>
        <item x="35"/>
        <item x="36"/>
        <item x="2"/>
        <item x="5"/>
        <item x="14"/>
        <item x="11"/>
        <item x="12"/>
        <item x="16"/>
        <item x="21"/>
        <item x="0"/>
        <item x="4"/>
        <item x="27"/>
        <item x="22"/>
        <item x="25"/>
        <item x="28"/>
        <item x="30"/>
        <item x="37"/>
        <item x="31"/>
        <item x="29"/>
        <item x="20"/>
        <item x="38"/>
        <item x="1"/>
        <item x="26"/>
        <item x="19"/>
        <item x="18"/>
        <item x="33"/>
        <item x="13"/>
        <item x="10"/>
        <item x="8"/>
        <item x="7"/>
        <item x="6"/>
        <item x="15"/>
        <item t="default"/>
      </items>
    </pivotField>
    <pivotField showAll="0"/>
    <pivotField showAll="0"/>
    <pivotField showAll="0"/>
    <pivotField showAll="0"/>
    <pivotField showAll="0"/>
    <pivotField showAll="0"/>
    <pivotField dataField="1" showAll="0"/>
    <pivotField showAll="0"/>
    <pivotField showAll="0"/>
  </pivotFields>
  <rowFields count="1">
    <field x="1"/>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D4C3B9-DD8A-4F6C-9E5E-B35D8C0E10C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4:R7" firstHeaderRow="1" firstDataRow="1" firstDataCol="1"/>
  <pivotFields count="11">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items count="6">
        <item x="3"/>
        <item x="2"/>
        <item x="1"/>
        <item x="0"/>
        <item x="4"/>
        <item t="default"/>
      </items>
    </pivotField>
  </pivotFields>
  <rowFields count="1">
    <field x="2"/>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E88C420-38D0-4748-B26B-D5738946078F}" autoFormatId="16" applyNumberFormats="0" applyBorderFormats="0" applyFontFormats="0" applyPatternFormats="0" applyAlignmentFormats="0" applyWidthHeightFormats="0">
  <queryTableRefresh nextId="12">
    <queryTableFields count="11">
      <queryTableField id="1" name="movie_id" tableColumnId="1"/>
      <queryTableField id="2" name="movie_title" tableColumnId="2"/>
      <queryTableField id="3" name="industry" tableColumnId="3"/>
      <queryTableField id="4" name="release_year" tableColumnId="4"/>
      <queryTableField id="5" name="imdb_rating" tableColumnId="5"/>
      <queryTableField id="6" name="studio" tableColumnId="6"/>
      <queryTableField id="7" name="language_id" tableColumnId="7"/>
      <queryTableField id="8" name="budget " tableColumnId="8"/>
      <queryTableField id="9" name="revenue" tableColumnId="9"/>
      <queryTableField id="10" name="   profit" tableColumnId="10"/>
      <queryTableField id="11" name="Table5.name"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D28AED1-BC27-4D54-9F65-6207B1B78C49}" autoFormatId="16" applyNumberFormats="0" applyBorderFormats="0" applyFontFormats="0" applyPatternFormats="0" applyAlignmentFormats="0" applyWidthHeightFormats="0">
  <queryTableRefresh nextId="3">
    <queryTableFields count="2">
      <queryTableField id="1" name="language_id" tableColumnId="1"/>
      <queryTableField id="2" name="nam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io" xr10:uid="{B2879E47-4A22-4C93-8D60-A52D85EE5240}" sourceName="studio">
  <pivotTables>
    <pivotTable tabId="17" name="PivotTable1"/>
  </pivotTables>
  <data>
    <tabular pivotCacheId="783265762">
      <items count="22">
        <i x="12" s="1"/>
        <i x="18" s="1"/>
        <i x="6" s="1"/>
        <i x="8" s="1"/>
        <i x="21" s="1"/>
        <i x="17" s="1"/>
        <i x="14" s="1"/>
        <i x="0" s="1"/>
        <i x="11" s="1"/>
        <i x="5" s="1"/>
        <i x="16" s="1"/>
        <i x="4" s="1"/>
        <i x="10" s="1"/>
        <i x="20" s="1"/>
        <i x="13" s="1"/>
        <i x="1" s="1"/>
        <i x="9" s="1"/>
        <i x="3" s="1"/>
        <i x="15" s="1"/>
        <i x="7" s="1"/>
        <i x="2"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C0DA962B-4654-4A76-B6DC-ECDA42E2129C}" sourceName="industry">
  <pivotTables>
    <pivotTable tabId="17" name="PivotTable7"/>
    <pivotTable tabId="17" name="PivotTable8"/>
    <pivotTable tabId="17" name="PivotTable9"/>
  </pivotTables>
  <data>
    <tabular pivotCacheId="78326576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E0A78887-6F34-4687-BC0A-29FAD82C05CA}" sourceName="Language">
  <pivotTables>
    <pivotTable tabId="17" name="PivotTable8"/>
  </pivotTables>
  <data>
    <tabular pivotCacheId="783265762">
      <items count="5">
        <i x="3" s="1"/>
        <i x="2"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io" xr10:uid="{7D45C97C-8676-449C-865F-D83BBBFE1907}" cache="Slicer_studio" caption="studio" rowHeight="234950"/>
  <slicer name="industry" xr10:uid="{C67C3773-1F81-4369-8CCB-E2B8F903F28C}" cache="Slicer_industry" caption="industry" rowHeight="234950"/>
  <slicer name="Language" xr10:uid="{2F839616-9473-4F4F-A284-CB3DAD1F90A7}" cache="Slicer_Language" caption="Languag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io 1" xr10:uid="{E592A30C-F245-4DD3-A667-2CAC78681DCD}" cache="Slicer_studio" caption="studio" rowHeight="234950"/>
  <slicer name="industry 1" xr10:uid="{34D2337D-AB97-48AE-97BC-15DC4749B15E}" cache="Slicer_industry" caption="industry" rowHeight="234950"/>
  <slicer name="Language 1" xr10:uid="{11AC971E-8AA7-42BF-8B58-2358520C2157}" cache="Slicer_Language" caption="Languag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623ED9-C500-4873-B7BF-6CC2E4420EE1}" name="Table1__2" displayName="Table1__2" ref="A1:K40" tableType="queryTable" totalsRowShown="0">
  <tableColumns count="11">
    <tableColumn id="1" xr3:uid="{220DDF77-FEE0-4E5D-878D-66CAADE388F1}" uniqueName="1" name="movie_id" queryTableFieldId="1"/>
    <tableColumn id="2" xr3:uid="{8D947949-D080-4280-A5C2-32A34548D2C8}" uniqueName="2" name="movie_title" queryTableFieldId="2" dataDxfId="28"/>
    <tableColumn id="3" xr3:uid="{922B767D-2F88-4D01-831D-B9FD11491BEB}" uniqueName="3" name="industry" queryTableFieldId="3" dataDxfId="27"/>
    <tableColumn id="4" xr3:uid="{D81341AA-58FC-4D55-A739-75775AD8A450}" uniqueName="4" name="release_year" queryTableFieldId="4"/>
    <tableColumn id="5" xr3:uid="{72958609-8590-4E2E-BBCD-FF397EB80297}" uniqueName="5" name="imdb_rating" queryTableFieldId="5"/>
    <tableColumn id="6" xr3:uid="{53518A25-5362-485A-9A70-06E84B969E74}" uniqueName="6" name="studio" queryTableFieldId="6" dataDxfId="26"/>
    <tableColumn id="7" xr3:uid="{D2256A32-A680-4EA0-9002-E2D82BC2788B}" uniqueName="7" name="language_id" queryTableFieldId="7"/>
    <tableColumn id="8" xr3:uid="{54BF815C-B815-4D04-B2C9-31635FFECC1B}" uniqueName="8" name="budget " queryTableFieldId="8"/>
    <tableColumn id="9" xr3:uid="{4396E59B-3E4F-4189-9FD1-29316E7B1CA5}" uniqueName="9" name="revenue" queryTableFieldId="9"/>
    <tableColumn id="10" xr3:uid="{DF0130B9-B0E8-42D3-83AB-DC290D38A722}" uniqueName="10" name="   profit" queryTableFieldId="10"/>
    <tableColumn id="11" xr3:uid="{97B48B1C-B452-452A-A1C9-A40E92E062CE}" uniqueName="11" name="Language" queryTableFieldId="11"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0130F4-CF70-4052-8E01-12C9CC17934F}" name="Table2" displayName="Table2" ref="A1:G41" totalsRowShown="0" headerRowDxfId="24" headerRowBorderDxfId="23" tableBorderDxfId="22" totalsRowBorderDxfId="21">
  <autoFilter ref="A1:G41" xr:uid="{480130F4-CF70-4052-8E01-12C9CC17934F}"/>
  <tableColumns count="7">
    <tableColumn id="1" xr3:uid="{9D2D3F46-E86C-4ABA-ADAE-40843663CB58}" name="movie_i+E+A1:E37" dataDxfId="20"/>
    <tableColumn id="2" xr3:uid="{FC5D55C1-3589-4C97-B6E4-9819B8FF1BC3}" name="budget" dataDxfId="19"/>
    <tableColumn id="3" xr3:uid="{E16D4F3F-46FB-407E-B229-BF73AAD0C262}" name="revenue" dataDxfId="18"/>
    <tableColumn id="4" xr3:uid="{7CF59852-C4D3-4C6C-BBFF-DA0B370DA83E}" name="currency" dataDxfId="17"/>
    <tableColumn id="5" xr3:uid="{2377EB72-048B-4CD6-B704-A28DEE9671DD}" name="budget in INR" dataDxfId="16">
      <calculatedColumnFormula>IF(D2="USD",B2*90,B2)</calculatedColumnFormula>
    </tableColumn>
    <tableColumn id="6" xr3:uid="{7F8C62AF-D99D-4396-A484-46831541C764}" name="revenue in INR" dataDxfId="15">
      <calculatedColumnFormula>IF(D2="USD",C2*90,C2)</calculatedColumnFormula>
    </tableColumn>
    <tableColumn id="7" xr3:uid="{7E0145A7-3131-430B-BE21-D602A85DB0E4}" name="   profit" dataDxfId="14">
      <calculatedColumnFormula>F2-E2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FC66BF-8ACD-4C42-912A-C8D1CEEFBD6B}" name="Table3" displayName="Table3" ref="A1:C76" totalsRowShown="0" headerRowDxfId="13" headerRowBorderDxfId="12" tableBorderDxfId="11" totalsRowBorderDxfId="10">
  <autoFilter ref="A1:C76" xr:uid="{7AFC66BF-8ACD-4C42-912A-C8D1CEEFBD6B}"/>
  <tableColumns count="3">
    <tableColumn id="1" xr3:uid="{A402F892-D7E0-4157-946C-B4DE56372AC6}" name="actor_id" dataDxfId="9"/>
    <tableColumn id="2" xr3:uid="{FE307332-3DC9-436B-A9E2-A4A999A998C3}" name="name" dataDxfId="8"/>
    <tableColumn id="3" xr3:uid="{E93047EC-4F0F-4046-B271-8ED88781CAC6}" name="birth_year"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D96884-696E-4331-A490-6C88A9875AFA}" name="Table4" displayName="Table4" ref="A1:B88" totalsRowShown="0" headerRowDxfId="6" headerRowBorderDxfId="5" tableBorderDxfId="4" totalsRowBorderDxfId="3">
  <autoFilter ref="A1:B88" xr:uid="{1FD96884-696E-4331-A490-6C88A9875AFA}"/>
  <tableColumns count="2">
    <tableColumn id="1" xr3:uid="{0D34FC92-D3F2-4112-8D5F-9CD9E95B7949}" name="movie_id" dataDxfId="2"/>
    <tableColumn id="2" xr3:uid="{DD5F96AC-F1BB-49EF-89E7-09E1104D30A7}" name="actor_id" dataDxfId="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E7C1839-BC23-4583-BC5B-1EEC239EBCD4}" name="Table5_1" displayName="Table5_1" ref="A1:B9" tableType="queryTable" totalsRowShown="0">
  <autoFilter ref="A1:B9" xr:uid="{9E7C1839-BC23-4583-BC5B-1EEC239EBCD4}"/>
  <tableColumns count="2">
    <tableColumn id="1" xr3:uid="{01F57AE3-3AEC-4399-A46E-5888BEA633BB}" uniqueName="1" name="language_id" queryTableFieldId="1"/>
    <tableColumn id="2" xr3:uid="{27E3FDAB-E661-4620-A25D-025B6181A21A}" uniqueName="2" name="name" queryTableFieldId="2" dataDxfId="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runge Texture">
      <a:fillStyleLst>
        <a:solidFill>
          <a:schemeClr val="phClr"/>
        </a:solidFill>
        <a:blipFill rotWithShape="1">
          <a:blip xmlns:r="http://schemas.openxmlformats.org/officeDocument/2006/relationships" r:embed="rId1">
            <a:duotone>
              <a:schemeClr val="phClr">
                <a:tint val="67000"/>
                <a:shade val="65000"/>
              </a:schemeClr>
              <a:schemeClr val="phClr">
                <a:tint val="10000"/>
                <a:satMod val="130000"/>
              </a:schemeClr>
            </a:duotone>
          </a:blip>
          <a:tile tx="0" ty="0" sx="60000" sy="59000" flip="none" algn="b"/>
        </a:blipFill>
        <a:blipFill rotWithShape="1">
          <a:blip xmlns:r="http://schemas.openxmlformats.org/officeDocument/2006/relationships" r:embed="rId1">
            <a:duotone>
              <a:schemeClr val="phClr">
                <a:shade val="30000"/>
                <a:satMod val="115000"/>
              </a:schemeClr>
              <a:schemeClr val="phClr">
                <a:tint val="34000"/>
              </a:schemeClr>
            </a:duotone>
          </a:blip>
          <a:tile tx="0" ty="0" sx="60000" sy="59000" flip="none" algn="b"/>
        </a:blipFill>
      </a:fillStyleLst>
      <a:lnStyleLst>
        <a:ln w="6350" cap="flat" cmpd="sng" algn="ctr">
          <a:solidFill>
            <a:schemeClr val="phClr">
              <a:tint val="70000"/>
            </a:scheme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t"/>
      <a:lstStyle>
        <a:defPPr algn="l">
          <a:defRPr sz="1100" b="0" i="0" u="none" strike="noStrike">
            <a:solidFill>
              <a:srgbClr val="000000"/>
            </a:solidFill>
            <a:latin typeface="Calibri"/>
            <a:ea typeface="Calibri"/>
            <a:cs typeface="Calibri"/>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50C0A-2E71-4EC9-82B3-976EAD616339}">
  <dimension ref="A3:U45"/>
  <sheetViews>
    <sheetView topLeftCell="D1" zoomScale="40" zoomScaleNormal="40" workbookViewId="0">
      <selection activeCell="M28" sqref="M28:N34"/>
    </sheetView>
  </sheetViews>
  <sheetFormatPr defaultRowHeight="15" x14ac:dyDescent="0.25"/>
  <cols>
    <col min="1" max="1" width="46.7109375" bestFit="1" customWidth="1"/>
    <col min="2" max="2" width="19.7109375" bestFit="1" customWidth="1"/>
    <col min="3" max="3" width="13.5703125" bestFit="1" customWidth="1"/>
    <col min="4" max="4" width="46.7109375" bestFit="1" customWidth="1"/>
    <col min="5" max="5" width="21.28515625" bestFit="1" customWidth="1"/>
    <col min="7" max="7" width="46.7109375" bestFit="1" customWidth="1"/>
    <col min="8" max="8" width="20.5703125" bestFit="1" customWidth="1"/>
    <col min="10" max="10" width="22.28515625" bestFit="1" customWidth="1"/>
    <col min="11" max="11" width="22" bestFit="1" customWidth="1"/>
    <col min="12" max="12" width="20.5703125" bestFit="1" customWidth="1"/>
    <col min="13" max="13" width="19.85546875" bestFit="1" customWidth="1"/>
    <col min="14" max="14" width="20.7109375" bestFit="1" customWidth="1"/>
    <col min="15" max="15" width="25.5703125" bestFit="1" customWidth="1"/>
    <col min="16" max="16" width="18.85546875" bestFit="1" customWidth="1"/>
    <col min="17" max="17" width="9.28515625" bestFit="1" customWidth="1"/>
    <col min="18" max="18" width="18.85546875" bestFit="1" customWidth="1"/>
    <col min="20" max="20" width="20.28515625" bestFit="1" customWidth="1"/>
    <col min="21" max="21" width="21.140625" bestFit="1" customWidth="1"/>
  </cols>
  <sheetData>
    <row r="3" spans="1:21" x14ac:dyDescent="0.25">
      <c r="A3" s="14" t="s">
        <v>158</v>
      </c>
      <c r="B3" t="s">
        <v>161</v>
      </c>
      <c r="D3" s="14" t="s">
        <v>158</v>
      </c>
      <c r="E3" t="s">
        <v>162</v>
      </c>
      <c r="G3" s="14" t="s">
        <v>158</v>
      </c>
      <c r="H3" t="s">
        <v>163</v>
      </c>
    </row>
    <row r="4" spans="1:21" x14ac:dyDescent="0.25">
      <c r="A4" s="15" t="s">
        <v>116</v>
      </c>
      <c r="B4">
        <v>3450</v>
      </c>
      <c r="D4" s="15" t="s">
        <v>116</v>
      </c>
      <c r="E4">
        <v>1</v>
      </c>
      <c r="G4" s="15" t="s">
        <v>116</v>
      </c>
      <c r="H4">
        <v>4000</v>
      </c>
      <c r="J4" s="14" t="s">
        <v>158</v>
      </c>
      <c r="K4" t="s">
        <v>161</v>
      </c>
      <c r="M4" s="14" t="s">
        <v>158</v>
      </c>
      <c r="N4" t="s">
        <v>169</v>
      </c>
      <c r="P4" s="14" t="s">
        <v>158</v>
      </c>
      <c r="R4" s="14" t="s">
        <v>158</v>
      </c>
      <c r="T4" s="14" t="s">
        <v>158</v>
      </c>
      <c r="U4" t="s">
        <v>161</v>
      </c>
    </row>
    <row r="5" spans="1:21" x14ac:dyDescent="0.25">
      <c r="A5" s="15" t="s">
        <v>126</v>
      </c>
      <c r="B5">
        <v>234900</v>
      </c>
      <c r="D5" s="15" t="s">
        <v>126</v>
      </c>
      <c r="E5">
        <v>1</v>
      </c>
      <c r="G5" s="15" t="s">
        <v>126</v>
      </c>
      <c r="H5">
        <v>256230</v>
      </c>
      <c r="J5" s="15" t="s">
        <v>105</v>
      </c>
      <c r="K5">
        <v>30</v>
      </c>
      <c r="M5" s="15" t="s">
        <v>127</v>
      </c>
      <c r="N5" s="16">
        <v>9.1999999999999993</v>
      </c>
      <c r="P5" s="15" t="s">
        <v>155</v>
      </c>
      <c r="R5" s="15" t="s">
        <v>155</v>
      </c>
      <c r="T5" s="15" t="s">
        <v>155</v>
      </c>
      <c r="U5" s="16">
        <v>29711.600000000002</v>
      </c>
    </row>
    <row r="6" spans="1:21" x14ac:dyDescent="0.25">
      <c r="A6" s="15" t="s">
        <v>132</v>
      </c>
      <c r="B6">
        <v>215820</v>
      </c>
      <c r="D6" s="15" t="s">
        <v>132</v>
      </c>
      <c r="E6">
        <v>1</v>
      </c>
      <c r="G6" s="15" t="s">
        <v>132</v>
      </c>
      <c r="H6">
        <v>251820</v>
      </c>
      <c r="J6" s="15" t="s">
        <v>103</v>
      </c>
      <c r="K6">
        <v>1395748.8</v>
      </c>
      <c r="M6" s="15" t="s">
        <v>128</v>
      </c>
      <c r="N6" s="16">
        <v>9</v>
      </c>
      <c r="P6" s="15" t="s">
        <v>156</v>
      </c>
      <c r="R6" s="15" t="s">
        <v>156</v>
      </c>
      <c r="T6" s="15" t="s">
        <v>156</v>
      </c>
      <c r="U6" s="16">
        <v>1395748.8</v>
      </c>
    </row>
    <row r="7" spans="1:21" x14ac:dyDescent="0.25">
      <c r="A7" s="15" t="s">
        <v>133</v>
      </c>
      <c r="B7">
        <v>148320</v>
      </c>
      <c r="D7" s="15" t="s">
        <v>133</v>
      </c>
      <c r="E7">
        <v>1</v>
      </c>
      <c r="G7" s="15" t="s">
        <v>133</v>
      </c>
      <c r="H7">
        <v>184320</v>
      </c>
      <c r="J7" s="15" t="s">
        <v>99</v>
      </c>
      <c r="K7">
        <v>29657.3</v>
      </c>
      <c r="M7" s="15" t="s">
        <v>147</v>
      </c>
      <c r="N7" s="16">
        <v>8.4</v>
      </c>
      <c r="P7" s="15" t="s">
        <v>159</v>
      </c>
      <c r="R7" s="15" t="s">
        <v>159</v>
      </c>
      <c r="T7" s="15" t="s">
        <v>159</v>
      </c>
      <c r="U7" s="16">
        <v>1425460.4000000001</v>
      </c>
    </row>
    <row r="8" spans="1:21" x14ac:dyDescent="0.25">
      <c r="A8" s="15" t="s">
        <v>141</v>
      </c>
      <c r="B8">
        <v>4.7</v>
      </c>
      <c r="D8" s="15" t="s">
        <v>141</v>
      </c>
      <c r="E8">
        <v>1</v>
      </c>
      <c r="G8" s="15" t="s">
        <v>141</v>
      </c>
      <c r="H8">
        <v>6.5</v>
      </c>
      <c r="J8" s="15" t="s">
        <v>101</v>
      </c>
      <c r="K8">
        <v>11.5</v>
      </c>
      <c r="M8" s="15" t="s">
        <v>129</v>
      </c>
      <c r="N8" s="16">
        <v>9</v>
      </c>
    </row>
    <row r="9" spans="1:21" x14ac:dyDescent="0.25">
      <c r="A9" s="15" t="s">
        <v>118</v>
      </c>
      <c r="B9">
        <v>2.1</v>
      </c>
      <c r="D9" s="15" t="s">
        <v>118</v>
      </c>
      <c r="E9">
        <v>1</v>
      </c>
      <c r="G9" s="15" t="s">
        <v>118</v>
      </c>
      <c r="H9">
        <v>3.5</v>
      </c>
      <c r="J9" s="15" t="s">
        <v>100</v>
      </c>
      <c r="K9">
        <v>12.8</v>
      </c>
      <c r="M9" s="15" t="s">
        <v>131</v>
      </c>
      <c r="N9" s="16">
        <v>8.5</v>
      </c>
    </row>
    <row r="10" spans="1:21" x14ac:dyDescent="0.25">
      <c r="A10" s="15" t="s">
        <v>143</v>
      </c>
      <c r="B10">
        <v>10790</v>
      </c>
      <c r="D10" s="15" t="s">
        <v>143</v>
      </c>
      <c r="E10">
        <v>1</v>
      </c>
      <c r="G10" s="15" t="s">
        <v>143</v>
      </c>
      <c r="H10">
        <v>11690</v>
      </c>
      <c r="J10" s="15" t="s">
        <v>159</v>
      </c>
      <c r="K10">
        <v>1425460.4000000001</v>
      </c>
      <c r="M10" s="15" t="s">
        <v>109</v>
      </c>
      <c r="N10" s="16">
        <v>8.4</v>
      </c>
    </row>
    <row r="11" spans="1:21" x14ac:dyDescent="0.25">
      <c r="A11" s="15" t="s">
        <v>144</v>
      </c>
      <c r="B11">
        <v>13851</v>
      </c>
      <c r="D11" s="15" t="s">
        <v>144</v>
      </c>
      <c r="E11">
        <v>1</v>
      </c>
      <c r="G11" s="15" t="s">
        <v>144</v>
      </c>
      <c r="H11">
        <v>33354</v>
      </c>
      <c r="M11" s="15" t="s">
        <v>125</v>
      </c>
      <c r="N11" s="16">
        <v>8.6</v>
      </c>
    </row>
    <row r="12" spans="1:21" x14ac:dyDescent="0.25">
      <c r="A12" s="15" t="s">
        <v>145</v>
      </c>
      <c r="B12">
        <v>48366</v>
      </c>
      <c r="D12" s="15" t="s">
        <v>145</v>
      </c>
      <c r="E12">
        <v>1</v>
      </c>
      <c r="G12" s="15" t="s">
        <v>145</v>
      </c>
      <c r="H12">
        <v>64296</v>
      </c>
      <c r="M12" s="15" t="s">
        <v>121</v>
      </c>
      <c r="N12" s="16">
        <v>8.6</v>
      </c>
    </row>
    <row r="13" spans="1:21" x14ac:dyDescent="0.25">
      <c r="A13" s="15" t="s">
        <v>115</v>
      </c>
      <c r="B13">
        <v>1600</v>
      </c>
      <c r="D13" s="15" t="s">
        <v>115</v>
      </c>
      <c r="E13">
        <v>1</v>
      </c>
      <c r="G13" s="15" t="s">
        <v>115</v>
      </c>
      <c r="H13">
        <v>2000</v>
      </c>
      <c r="J13" s="14" t="s">
        <v>158</v>
      </c>
      <c r="K13" t="s">
        <v>163</v>
      </c>
      <c r="M13" s="15" t="s">
        <v>120</v>
      </c>
      <c r="N13" s="16">
        <v>8.8000000000000007</v>
      </c>
    </row>
    <row r="14" spans="1:21" x14ac:dyDescent="0.25">
      <c r="A14" s="15" t="s">
        <v>110</v>
      </c>
      <c r="B14">
        <v>67932</v>
      </c>
      <c r="D14" s="15" t="s">
        <v>110</v>
      </c>
      <c r="E14">
        <v>1</v>
      </c>
      <c r="G14" s="15" t="s">
        <v>110</v>
      </c>
      <c r="H14">
        <v>85932</v>
      </c>
      <c r="J14" s="15">
        <v>1946</v>
      </c>
      <c r="K14" s="16">
        <v>297</v>
      </c>
      <c r="M14" s="15" t="s">
        <v>123</v>
      </c>
      <c r="N14" s="16">
        <v>8.5</v>
      </c>
    </row>
    <row r="15" spans="1:21" x14ac:dyDescent="0.25">
      <c r="A15" s="15" t="s">
        <v>123</v>
      </c>
      <c r="B15">
        <v>32175</v>
      </c>
      <c r="D15" s="15" t="s">
        <v>123</v>
      </c>
      <c r="E15">
        <v>1</v>
      </c>
      <c r="G15" s="15" t="s">
        <v>123</v>
      </c>
      <c r="H15">
        <v>41445</v>
      </c>
      <c r="J15" s="15">
        <v>1955</v>
      </c>
      <c r="K15" s="16">
        <v>100</v>
      </c>
      <c r="M15" s="15" t="s">
        <v>133</v>
      </c>
      <c r="N15" s="16">
        <v>8.4</v>
      </c>
    </row>
    <row r="16" spans="1:21" x14ac:dyDescent="0.25">
      <c r="A16" s="15" t="s">
        <v>120</v>
      </c>
      <c r="B16">
        <v>0</v>
      </c>
      <c r="D16" s="15" t="s">
        <v>120</v>
      </c>
      <c r="E16">
        <v>1</v>
      </c>
      <c r="G16" s="15" t="s">
        <v>120</v>
      </c>
      <c r="H16">
        <v>0</v>
      </c>
      <c r="J16" s="15">
        <v>1972</v>
      </c>
      <c r="K16" s="16">
        <v>26190</v>
      </c>
      <c r="M16" s="15" t="s">
        <v>132</v>
      </c>
      <c r="N16" s="16">
        <v>8.4</v>
      </c>
    </row>
    <row r="17" spans="1:14" x14ac:dyDescent="0.25">
      <c r="A17" s="15" t="s">
        <v>121</v>
      </c>
      <c r="B17">
        <v>48311.999999999993</v>
      </c>
      <c r="D17" s="15" t="s">
        <v>121</v>
      </c>
      <c r="E17">
        <v>1</v>
      </c>
      <c r="G17" s="15" t="s">
        <v>121</v>
      </c>
      <c r="H17">
        <v>63161.999999999993</v>
      </c>
      <c r="J17" s="15">
        <v>1975</v>
      </c>
      <c r="K17" s="16">
        <v>0</v>
      </c>
      <c r="M17" s="15" t="s">
        <v>116</v>
      </c>
      <c r="N17" s="16">
        <v>8.4</v>
      </c>
    </row>
    <row r="18" spans="1:14" x14ac:dyDescent="0.25">
      <c r="A18" s="15" t="s">
        <v>125</v>
      </c>
      <c r="B18">
        <v>10.800000000000011</v>
      </c>
      <c r="D18" s="15" t="s">
        <v>125</v>
      </c>
      <c r="E18">
        <v>1</v>
      </c>
      <c r="G18" s="15" t="s">
        <v>125</v>
      </c>
      <c r="H18">
        <v>297</v>
      </c>
      <c r="J18" s="15">
        <v>1993</v>
      </c>
      <c r="K18" s="16">
        <v>123138</v>
      </c>
      <c r="M18" s="15" t="s">
        <v>159</v>
      </c>
      <c r="N18" s="16">
        <v>112.20000000000002</v>
      </c>
    </row>
    <row r="19" spans="1:14" x14ac:dyDescent="0.25">
      <c r="A19" s="15" t="s">
        <v>130</v>
      </c>
      <c r="B19">
        <v>88470</v>
      </c>
      <c r="D19" s="15" t="s">
        <v>130</v>
      </c>
      <c r="E19">
        <v>1</v>
      </c>
      <c r="G19" s="15" t="s">
        <v>130</v>
      </c>
      <c r="H19">
        <v>94140</v>
      </c>
      <c r="J19" s="15">
        <v>1994</v>
      </c>
      <c r="K19" s="16">
        <v>6597</v>
      </c>
    </row>
    <row r="20" spans="1:14" x14ac:dyDescent="0.25">
      <c r="A20" s="15" t="s">
        <v>109</v>
      </c>
      <c r="B20">
        <v>11.5</v>
      </c>
      <c r="D20" s="15" t="s">
        <v>109</v>
      </c>
      <c r="E20">
        <v>1</v>
      </c>
      <c r="G20" s="15" t="s">
        <v>109</v>
      </c>
      <c r="H20">
        <v>12.5</v>
      </c>
      <c r="J20" s="15">
        <v>1995</v>
      </c>
      <c r="K20" s="16">
        <v>2000</v>
      </c>
    </row>
    <row r="21" spans="1:14" x14ac:dyDescent="0.25">
      <c r="A21" s="15" t="s">
        <v>117</v>
      </c>
      <c r="B21">
        <v>970</v>
      </c>
      <c r="D21" s="15" t="s">
        <v>117</v>
      </c>
      <c r="E21">
        <v>1</v>
      </c>
      <c r="G21" s="15" t="s">
        <v>117</v>
      </c>
      <c r="H21">
        <v>1360</v>
      </c>
      <c r="J21" s="15">
        <v>1997</v>
      </c>
      <c r="K21" s="16">
        <v>198180</v>
      </c>
    </row>
    <row r="22" spans="1:14" x14ac:dyDescent="0.25">
      <c r="A22" s="15" t="s">
        <v>136</v>
      </c>
      <c r="B22">
        <v>310</v>
      </c>
      <c r="D22" s="15" t="s">
        <v>136</v>
      </c>
      <c r="E22">
        <v>1</v>
      </c>
      <c r="G22" s="15" t="s">
        <v>136</v>
      </c>
      <c r="H22">
        <v>410</v>
      </c>
      <c r="J22" s="15">
        <v>2000</v>
      </c>
      <c r="K22" s="16">
        <v>41445</v>
      </c>
    </row>
    <row r="23" spans="1:14" x14ac:dyDescent="0.25">
      <c r="A23" s="15" t="s">
        <v>131</v>
      </c>
      <c r="B23">
        <v>22284.000000000004</v>
      </c>
      <c r="D23" s="15" t="s">
        <v>131</v>
      </c>
      <c r="E23">
        <v>1</v>
      </c>
      <c r="G23" s="15" t="s">
        <v>131</v>
      </c>
      <c r="H23">
        <v>23679.000000000004</v>
      </c>
      <c r="J23" s="15">
        <v>2001</v>
      </c>
      <c r="K23" s="16">
        <v>1360</v>
      </c>
    </row>
    <row r="24" spans="1:14" x14ac:dyDescent="0.25">
      <c r="A24" s="15" t="s">
        <v>134</v>
      </c>
      <c r="B24">
        <v>30</v>
      </c>
      <c r="D24" s="15" t="s">
        <v>134</v>
      </c>
      <c r="E24">
        <v>1</v>
      </c>
      <c r="G24" s="15" t="s">
        <v>134</v>
      </c>
      <c r="H24">
        <v>100</v>
      </c>
      <c r="J24" s="15">
        <v>2003</v>
      </c>
      <c r="K24" s="16">
        <v>410</v>
      </c>
    </row>
    <row r="25" spans="1:14" x14ac:dyDescent="0.25">
      <c r="A25" s="15" t="s">
        <v>137</v>
      </c>
      <c r="B25">
        <v>7690</v>
      </c>
      <c r="D25" s="15" t="s">
        <v>137</v>
      </c>
      <c r="E25">
        <v>1</v>
      </c>
      <c r="G25" s="15" t="s">
        <v>137</v>
      </c>
      <c r="H25">
        <v>8540</v>
      </c>
      <c r="J25" s="15">
        <v>2006</v>
      </c>
      <c r="K25" s="16">
        <v>27639.000000000004</v>
      </c>
    </row>
    <row r="26" spans="1:14" x14ac:dyDescent="0.25">
      <c r="A26" s="15" t="s">
        <v>139</v>
      </c>
      <c r="B26">
        <v>1.6</v>
      </c>
      <c r="D26" s="15" t="s">
        <v>139</v>
      </c>
      <c r="E26">
        <v>1</v>
      </c>
      <c r="G26" s="15" t="s">
        <v>139</v>
      </c>
      <c r="H26">
        <v>3.6</v>
      </c>
      <c r="J26" s="15">
        <v>2007</v>
      </c>
      <c r="K26" s="16">
        <v>1350</v>
      </c>
    </row>
    <row r="27" spans="1:14" x14ac:dyDescent="0.25">
      <c r="A27" s="15" t="s">
        <v>146</v>
      </c>
      <c r="B27">
        <v>1.3</v>
      </c>
      <c r="D27" s="15" t="s">
        <v>146</v>
      </c>
      <c r="E27">
        <v>1</v>
      </c>
      <c r="G27" s="15" t="s">
        <v>146</v>
      </c>
      <c r="H27">
        <v>3.1</v>
      </c>
      <c r="J27" s="15">
        <v>2008</v>
      </c>
      <c r="K27" s="16">
        <v>90540</v>
      </c>
    </row>
    <row r="28" spans="1:14" x14ac:dyDescent="0.25">
      <c r="A28" s="15" t="s">
        <v>140</v>
      </c>
      <c r="B28">
        <v>6.5</v>
      </c>
      <c r="D28" s="15" t="s">
        <v>140</v>
      </c>
      <c r="E28">
        <v>1</v>
      </c>
      <c r="G28" s="15" t="s">
        <v>140</v>
      </c>
      <c r="H28">
        <v>12</v>
      </c>
      <c r="J28" s="15">
        <v>2009</v>
      </c>
      <c r="K28" s="16">
        <v>260230</v>
      </c>
      <c r="M28" s="14" t="s">
        <v>158</v>
      </c>
      <c r="N28" t="s">
        <v>161</v>
      </c>
    </row>
    <row r="29" spans="1:14" x14ac:dyDescent="0.25">
      <c r="A29" s="15" t="s">
        <v>138</v>
      </c>
      <c r="B29">
        <v>4.9000000000000004</v>
      </c>
      <c r="D29" s="15" t="s">
        <v>138</v>
      </c>
      <c r="E29">
        <v>1</v>
      </c>
      <c r="G29" s="15" t="s">
        <v>138</v>
      </c>
      <c r="H29">
        <v>5.9</v>
      </c>
      <c r="J29" s="15">
        <v>2010</v>
      </c>
      <c r="K29" s="16">
        <v>0</v>
      </c>
      <c r="M29" s="15" t="s">
        <v>12</v>
      </c>
      <c r="N29" s="16">
        <v>234900</v>
      </c>
    </row>
    <row r="30" spans="1:14" x14ac:dyDescent="0.25">
      <c r="A30" s="15" t="s">
        <v>129</v>
      </c>
      <c r="B30">
        <v>27018</v>
      </c>
      <c r="D30" s="15" t="s">
        <v>129</v>
      </c>
      <c r="E30">
        <v>1</v>
      </c>
      <c r="G30" s="15" t="s">
        <v>129</v>
      </c>
      <c r="H30">
        <v>28998</v>
      </c>
      <c r="J30" s="15">
        <v>2011</v>
      </c>
      <c r="K30" s="16">
        <v>33354</v>
      </c>
      <c r="M30" s="15" t="s">
        <v>3</v>
      </c>
      <c r="N30" s="16">
        <v>635931</v>
      </c>
    </row>
    <row r="31" spans="1:14" x14ac:dyDescent="0.25">
      <c r="A31" s="15" t="s">
        <v>147</v>
      </c>
      <c r="B31">
        <v>450</v>
      </c>
      <c r="D31" s="15" t="s">
        <v>147</v>
      </c>
      <c r="E31">
        <v>1</v>
      </c>
      <c r="G31" s="15" t="s">
        <v>147</v>
      </c>
      <c r="H31">
        <v>950</v>
      </c>
      <c r="J31" s="15">
        <v>2013</v>
      </c>
      <c r="K31" s="16">
        <v>58031.999999999993</v>
      </c>
      <c r="M31" s="15" t="s">
        <v>10</v>
      </c>
      <c r="N31" s="16">
        <v>205722</v>
      </c>
    </row>
    <row r="32" spans="1:14" x14ac:dyDescent="0.25">
      <c r="A32" s="15" t="s">
        <v>114</v>
      </c>
      <c r="B32">
        <v>0</v>
      </c>
      <c r="D32" s="15" t="s">
        <v>114</v>
      </c>
      <c r="E32">
        <v>1</v>
      </c>
      <c r="G32" s="15" t="s">
        <v>114</v>
      </c>
      <c r="H32">
        <v>0</v>
      </c>
      <c r="J32" s="15">
        <v>2014</v>
      </c>
      <c r="K32" s="16">
        <v>135998</v>
      </c>
      <c r="M32" s="15" t="s">
        <v>13</v>
      </c>
      <c r="N32" s="16">
        <v>73890</v>
      </c>
    </row>
    <row r="33" spans="1:14" x14ac:dyDescent="0.25">
      <c r="A33" s="15" t="s">
        <v>135</v>
      </c>
      <c r="B33">
        <v>1230</v>
      </c>
      <c r="D33" s="15" t="s">
        <v>135</v>
      </c>
      <c r="E33">
        <v>1</v>
      </c>
      <c r="G33" s="15" t="s">
        <v>135</v>
      </c>
      <c r="H33">
        <v>1350</v>
      </c>
      <c r="J33" s="15">
        <v>2015</v>
      </c>
      <c r="K33" s="16">
        <v>11700</v>
      </c>
      <c r="M33" s="15" t="s">
        <v>14</v>
      </c>
      <c r="N33" s="16">
        <v>147663</v>
      </c>
    </row>
    <row r="34" spans="1:14" x14ac:dyDescent="0.25">
      <c r="A34" s="15" t="s">
        <v>128</v>
      </c>
      <c r="B34">
        <v>73890</v>
      </c>
      <c r="D34" s="15" t="s">
        <v>128</v>
      </c>
      <c r="E34">
        <v>1</v>
      </c>
      <c r="G34" s="15" t="s">
        <v>128</v>
      </c>
      <c r="H34">
        <v>90540</v>
      </c>
      <c r="J34" s="15">
        <v>2017</v>
      </c>
      <c r="K34" s="16">
        <v>76860</v>
      </c>
      <c r="M34" s="15" t="s">
        <v>159</v>
      </c>
      <c r="N34" s="16">
        <v>1298106</v>
      </c>
    </row>
    <row r="35" spans="1:14" x14ac:dyDescent="0.25">
      <c r="A35" s="15" t="s">
        <v>127</v>
      </c>
      <c r="B35">
        <v>25542</v>
      </c>
      <c r="D35" s="15" t="s">
        <v>127</v>
      </c>
      <c r="E35">
        <v>1</v>
      </c>
      <c r="G35" s="15" t="s">
        <v>127</v>
      </c>
      <c r="H35">
        <v>26190</v>
      </c>
      <c r="J35" s="15">
        <v>2018</v>
      </c>
      <c r="K35" s="16">
        <v>184329</v>
      </c>
    </row>
    <row r="36" spans="1:14" x14ac:dyDescent="0.25">
      <c r="A36" s="15" t="s">
        <v>142</v>
      </c>
      <c r="B36">
        <v>3159</v>
      </c>
      <c r="D36" s="15" t="s">
        <v>142</v>
      </c>
      <c r="E36">
        <v>1</v>
      </c>
      <c r="G36" s="15" t="s">
        <v>142</v>
      </c>
      <c r="H36">
        <v>3409</v>
      </c>
      <c r="J36" s="15">
        <v>2019</v>
      </c>
      <c r="K36" s="16">
        <v>275499</v>
      </c>
    </row>
    <row r="37" spans="1:14" x14ac:dyDescent="0.25">
      <c r="A37" s="15" t="s">
        <v>122</v>
      </c>
      <c r="B37">
        <v>22689.000000000004</v>
      </c>
      <c r="D37" s="15" t="s">
        <v>122</v>
      </c>
      <c r="E37">
        <v>1</v>
      </c>
      <c r="G37" s="15" t="s">
        <v>122</v>
      </c>
      <c r="H37">
        <v>27639.000000000004</v>
      </c>
      <c r="J37" s="15">
        <v>2021</v>
      </c>
      <c r="K37" s="16">
        <v>953.6</v>
      </c>
    </row>
    <row r="38" spans="1:14" x14ac:dyDescent="0.25">
      <c r="A38" s="15" t="s">
        <v>119</v>
      </c>
      <c r="B38">
        <v>4347</v>
      </c>
      <c r="D38" s="15" t="s">
        <v>119</v>
      </c>
      <c r="E38">
        <v>1</v>
      </c>
      <c r="G38" s="15" t="s">
        <v>119</v>
      </c>
      <c r="H38">
        <v>6597</v>
      </c>
      <c r="J38" s="15">
        <v>2022</v>
      </c>
      <c r="K38" s="16">
        <v>149665.5</v>
      </c>
    </row>
    <row r="39" spans="1:14" x14ac:dyDescent="0.25">
      <c r="A39" s="15" t="s">
        <v>113</v>
      </c>
      <c r="B39">
        <v>37800</v>
      </c>
      <c r="D39" s="15" t="s">
        <v>113</v>
      </c>
      <c r="E39">
        <v>1</v>
      </c>
      <c r="G39" s="15" t="s">
        <v>113</v>
      </c>
      <c r="H39">
        <v>60300</v>
      </c>
      <c r="J39" s="15" t="s">
        <v>159</v>
      </c>
      <c r="K39" s="16">
        <v>1705867.1</v>
      </c>
    </row>
    <row r="40" spans="1:14" x14ac:dyDescent="0.25">
      <c r="A40" s="15" t="s">
        <v>112</v>
      </c>
      <c r="B40">
        <v>60660</v>
      </c>
      <c r="D40" s="15" t="s">
        <v>112</v>
      </c>
      <c r="E40">
        <v>1</v>
      </c>
      <c r="G40" s="15" t="s">
        <v>112</v>
      </c>
      <c r="H40">
        <v>76860</v>
      </c>
    </row>
    <row r="41" spans="1:14" x14ac:dyDescent="0.25">
      <c r="A41" s="15" t="s">
        <v>111</v>
      </c>
      <c r="B41">
        <v>43181.999999999993</v>
      </c>
      <c r="D41" s="15" t="s">
        <v>111</v>
      </c>
      <c r="E41">
        <v>1</v>
      </c>
      <c r="G41" s="15" t="s">
        <v>111</v>
      </c>
      <c r="H41">
        <v>58031.999999999993</v>
      </c>
      <c r="J41" t="s">
        <v>168</v>
      </c>
      <c r="K41">
        <f>GETPIVOTDATA("revenue",$J$13)</f>
        <v>1705867.1</v>
      </c>
    </row>
    <row r="42" spans="1:14" x14ac:dyDescent="0.25">
      <c r="A42" s="15" t="s">
        <v>124</v>
      </c>
      <c r="B42">
        <v>180180</v>
      </c>
      <c r="D42" s="15" t="s">
        <v>124</v>
      </c>
      <c r="E42">
        <v>1</v>
      </c>
      <c r="G42" s="15" t="s">
        <v>124</v>
      </c>
      <c r="H42">
        <v>198180</v>
      </c>
    </row>
    <row r="43" spans="1:14" x14ac:dyDescent="0.25">
      <c r="A43" s="15" t="s">
        <v>159</v>
      </c>
      <c r="B43">
        <v>1425460.4</v>
      </c>
      <c r="D43" s="15" t="s">
        <v>159</v>
      </c>
      <c r="E43">
        <v>39</v>
      </c>
      <c r="G43" s="15" t="s">
        <v>159</v>
      </c>
      <c r="H43">
        <v>1705867.1</v>
      </c>
    </row>
    <row r="45" spans="1:14" x14ac:dyDescent="0.25">
      <c r="A45" s="15" t="s">
        <v>165</v>
      </c>
      <c r="B45">
        <f>GETPIVOTDATA("   profit",$A$3)</f>
        <v>1425460.4</v>
      </c>
      <c r="D45" s="15" t="s">
        <v>164</v>
      </c>
      <c r="E45">
        <f>GETPIVOTDATA("   profit",$D$3)</f>
        <v>39</v>
      </c>
      <c r="G45" s="15" t="s">
        <v>166</v>
      </c>
      <c r="H45">
        <f>GETPIVOTDATA("revenue",$G$3)</f>
        <v>1705867.1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C9ECD-AC1F-4864-81FA-CB9BE80DFA28}">
  <dimension ref="A1:K40"/>
  <sheetViews>
    <sheetView topLeftCell="A16" workbookViewId="0">
      <selection sqref="A1:K40"/>
    </sheetView>
  </sheetViews>
  <sheetFormatPr defaultRowHeight="15" x14ac:dyDescent="0.25"/>
  <cols>
    <col min="1" max="1" width="11" bestFit="1" customWidth="1"/>
    <col min="2" max="2" width="37.85546875" bestFit="1" customWidth="1"/>
    <col min="3" max="3" width="10.140625" bestFit="1" customWidth="1"/>
    <col min="4" max="4" width="13.7109375" bestFit="1" customWidth="1"/>
    <col min="5" max="5" width="13.42578125" bestFit="1" customWidth="1"/>
    <col min="6" max="6" width="24.28515625" bestFit="1" customWidth="1"/>
    <col min="7" max="7" width="13.42578125" bestFit="1" customWidth="1"/>
    <col min="8" max="8" width="9.7109375" bestFit="1" customWidth="1"/>
    <col min="9" max="9" width="10.140625" bestFit="1" customWidth="1"/>
    <col min="10" max="10" width="9.28515625" bestFit="1" customWidth="1"/>
    <col min="11" max="11" width="14.140625" bestFit="1" customWidth="1"/>
  </cols>
  <sheetData>
    <row r="1" spans="1:11" x14ac:dyDescent="0.25">
      <c r="A1" t="s">
        <v>22</v>
      </c>
      <c r="B1" t="s">
        <v>160</v>
      </c>
      <c r="C1" t="s">
        <v>153</v>
      </c>
      <c r="D1" t="s">
        <v>154</v>
      </c>
      <c r="E1" t="s">
        <v>0</v>
      </c>
      <c r="F1" t="s">
        <v>1</v>
      </c>
      <c r="G1" t="s">
        <v>2</v>
      </c>
      <c r="H1" t="s">
        <v>157</v>
      </c>
      <c r="I1" t="s">
        <v>24</v>
      </c>
      <c r="J1" t="s">
        <v>152</v>
      </c>
      <c r="K1" t="s">
        <v>167</v>
      </c>
    </row>
    <row r="2" spans="1:11" x14ac:dyDescent="0.25">
      <c r="A2">
        <v>101</v>
      </c>
      <c r="B2" t="s">
        <v>109</v>
      </c>
      <c r="C2" t="s">
        <v>155</v>
      </c>
      <c r="D2">
        <v>2022</v>
      </c>
      <c r="E2">
        <v>8.4</v>
      </c>
      <c r="F2" t="s">
        <v>149</v>
      </c>
      <c r="G2">
        <v>3</v>
      </c>
      <c r="H2">
        <v>1</v>
      </c>
      <c r="I2">
        <v>12.5</v>
      </c>
      <c r="J2">
        <v>11.5</v>
      </c>
      <c r="K2" t="s">
        <v>101</v>
      </c>
    </row>
    <row r="3" spans="1:11" x14ac:dyDescent="0.25">
      <c r="A3">
        <v>106</v>
      </c>
      <c r="B3" t="s">
        <v>114</v>
      </c>
      <c r="C3" t="s">
        <v>155</v>
      </c>
      <c r="D3">
        <v>1975</v>
      </c>
      <c r="E3">
        <v>8.1</v>
      </c>
      <c r="F3" t="s">
        <v>4</v>
      </c>
      <c r="G3">
        <v>1</v>
      </c>
      <c r="H3">
        <v>0</v>
      </c>
      <c r="I3">
        <v>0</v>
      </c>
      <c r="J3">
        <v>0</v>
      </c>
      <c r="K3" t="s">
        <v>99</v>
      </c>
    </row>
    <row r="4" spans="1:11" x14ac:dyDescent="0.25">
      <c r="A4">
        <v>107</v>
      </c>
      <c r="B4" t="s">
        <v>115</v>
      </c>
      <c r="C4" t="s">
        <v>155</v>
      </c>
      <c r="D4">
        <v>1995</v>
      </c>
      <c r="E4">
        <v>8</v>
      </c>
      <c r="F4" t="s">
        <v>5</v>
      </c>
      <c r="G4">
        <v>1</v>
      </c>
      <c r="H4">
        <v>400</v>
      </c>
      <c r="I4">
        <v>2000</v>
      </c>
      <c r="J4">
        <v>1600</v>
      </c>
      <c r="K4" t="s">
        <v>99</v>
      </c>
    </row>
    <row r="5" spans="1:11" x14ac:dyDescent="0.25">
      <c r="A5">
        <v>108</v>
      </c>
      <c r="B5" t="s">
        <v>116</v>
      </c>
      <c r="C5" t="s">
        <v>155</v>
      </c>
      <c r="D5">
        <v>2009</v>
      </c>
      <c r="E5">
        <v>8.4</v>
      </c>
      <c r="F5" t="s">
        <v>16</v>
      </c>
      <c r="G5">
        <v>1</v>
      </c>
      <c r="H5">
        <v>550</v>
      </c>
      <c r="I5">
        <v>4000</v>
      </c>
      <c r="J5">
        <v>3450</v>
      </c>
      <c r="K5" t="s">
        <v>99</v>
      </c>
    </row>
    <row r="6" spans="1:11" x14ac:dyDescent="0.25">
      <c r="A6">
        <v>109</v>
      </c>
      <c r="B6" t="s">
        <v>117</v>
      </c>
      <c r="C6" t="s">
        <v>155</v>
      </c>
      <c r="D6">
        <v>2001</v>
      </c>
      <c r="E6">
        <v>7.4</v>
      </c>
      <c r="F6" t="s">
        <v>148</v>
      </c>
      <c r="G6">
        <v>1</v>
      </c>
      <c r="H6">
        <v>390</v>
      </c>
      <c r="I6">
        <v>1360</v>
      </c>
      <c r="J6">
        <v>970</v>
      </c>
      <c r="K6" t="s">
        <v>99</v>
      </c>
    </row>
    <row r="7" spans="1:11" x14ac:dyDescent="0.25">
      <c r="A7">
        <v>102</v>
      </c>
      <c r="B7" t="s">
        <v>110</v>
      </c>
      <c r="C7" t="s">
        <v>156</v>
      </c>
      <c r="D7">
        <v>2022</v>
      </c>
      <c r="E7">
        <v>7</v>
      </c>
      <c r="F7" t="s">
        <v>3</v>
      </c>
      <c r="G7">
        <v>5</v>
      </c>
      <c r="H7">
        <v>18000</v>
      </c>
      <c r="I7">
        <v>85932</v>
      </c>
      <c r="J7">
        <v>67932</v>
      </c>
      <c r="K7" t="s">
        <v>103</v>
      </c>
    </row>
    <row r="8" spans="1:11" x14ac:dyDescent="0.25">
      <c r="A8">
        <v>103</v>
      </c>
      <c r="B8" t="s">
        <v>111</v>
      </c>
      <c r="C8" t="s">
        <v>156</v>
      </c>
      <c r="D8">
        <v>2013</v>
      </c>
      <c r="E8">
        <v>6.8</v>
      </c>
      <c r="F8" t="s">
        <v>3</v>
      </c>
      <c r="G8">
        <v>5</v>
      </c>
      <c r="H8">
        <v>14850</v>
      </c>
      <c r="I8">
        <v>58031.999999999993</v>
      </c>
      <c r="J8">
        <v>43181.999999999993</v>
      </c>
      <c r="K8" t="s">
        <v>103</v>
      </c>
    </row>
    <row r="9" spans="1:11" x14ac:dyDescent="0.25">
      <c r="A9">
        <v>104</v>
      </c>
      <c r="B9" t="s">
        <v>112</v>
      </c>
      <c r="C9" t="s">
        <v>156</v>
      </c>
      <c r="D9">
        <v>2017</v>
      </c>
      <c r="E9">
        <v>7.9</v>
      </c>
      <c r="F9" t="s">
        <v>3</v>
      </c>
      <c r="G9">
        <v>5</v>
      </c>
      <c r="H9">
        <v>16200</v>
      </c>
      <c r="I9">
        <v>76860</v>
      </c>
      <c r="J9">
        <v>60660</v>
      </c>
      <c r="K9" t="s">
        <v>103</v>
      </c>
    </row>
    <row r="10" spans="1:11" x14ac:dyDescent="0.25">
      <c r="A10">
        <v>105</v>
      </c>
      <c r="B10" t="s">
        <v>113</v>
      </c>
      <c r="C10" t="s">
        <v>156</v>
      </c>
      <c r="D10">
        <v>2022</v>
      </c>
      <c r="E10">
        <v>6.8</v>
      </c>
      <c r="F10" t="s">
        <v>3</v>
      </c>
      <c r="G10">
        <v>5</v>
      </c>
      <c r="H10">
        <v>22500</v>
      </c>
      <c r="I10">
        <v>60300</v>
      </c>
      <c r="J10">
        <v>37800</v>
      </c>
      <c r="K10" t="s">
        <v>103</v>
      </c>
    </row>
    <row r="11" spans="1:11" x14ac:dyDescent="0.25">
      <c r="A11">
        <v>110</v>
      </c>
      <c r="B11" t="s">
        <v>118</v>
      </c>
      <c r="C11" t="s">
        <v>155</v>
      </c>
      <c r="D11">
        <v>2015</v>
      </c>
      <c r="E11">
        <v>7.2</v>
      </c>
      <c r="F11" t="s">
        <v>148</v>
      </c>
      <c r="G11">
        <v>1</v>
      </c>
      <c r="H11">
        <v>1.4</v>
      </c>
      <c r="I11">
        <v>3.5</v>
      </c>
      <c r="J11">
        <v>2.1</v>
      </c>
      <c r="K11" t="s">
        <v>99</v>
      </c>
    </row>
    <row r="12" spans="1:11" x14ac:dyDescent="0.25">
      <c r="A12">
        <v>111</v>
      </c>
      <c r="B12" t="s">
        <v>119</v>
      </c>
      <c r="C12" t="s">
        <v>156</v>
      </c>
      <c r="D12">
        <v>1994</v>
      </c>
      <c r="E12">
        <v>8</v>
      </c>
      <c r="F12" t="s">
        <v>7</v>
      </c>
      <c r="G12">
        <v>5</v>
      </c>
      <c r="H12">
        <v>2250</v>
      </c>
      <c r="I12">
        <v>6597</v>
      </c>
      <c r="J12">
        <v>4347</v>
      </c>
      <c r="K12" t="s">
        <v>103</v>
      </c>
    </row>
    <row r="13" spans="1:11" x14ac:dyDescent="0.25">
      <c r="A13">
        <v>112</v>
      </c>
      <c r="B13" t="s">
        <v>120</v>
      </c>
      <c r="C13" t="s">
        <v>156</v>
      </c>
      <c r="D13">
        <v>2010</v>
      </c>
      <c r="E13">
        <v>8.8000000000000007</v>
      </c>
      <c r="F13" t="s">
        <v>8</v>
      </c>
      <c r="G13">
        <v>5</v>
      </c>
      <c r="H13">
        <v>0</v>
      </c>
      <c r="I13">
        <v>0</v>
      </c>
      <c r="J13">
        <v>0</v>
      </c>
      <c r="K13" t="s">
        <v>103</v>
      </c>
    </row>
    <row r="14" spans="1:11" x14ac:dyDescent="0.25">
      <c r="A14">
        <v>113</v>
      </c>
      <c r="B14" t="s">
        <v>121</v>
      </c>
      <c r="C14" t="s">
        <v>156</v>
      </c>
      <c r="D14">
        <v>2014</v>
      </c>
      <c r="E14">
        <v>8.6</v>
      </c>
      <c r="F14" t="s">
        <v>8</v>
      </c>
      <c r="G14">
        <v>5</v>
      </c>
      <c r="H14">
        <v>14850</v>
      </c>
      <c r="I14">
        <v>63161.999999999993</v>
      </c>
      <c r="J14">
        <v>48311.999999999993</v>
      </c>
      <c r="K14" t="s">
        <v>103</v>
      </c>
    </row>
    <row r="15" spans="1:11" x14ac:dyDescent="0.25">
      <c r="A15">
        <v>115</v>
      </c>
      <c r="B15" t="s">
        <v>122</v>
      </c>
      <c r="C15" t="s">
        <v>156</v>
      </c>
      <c r="D15">
        <v>2006</v>
      </c>
      <c r="E15">
        <v>8</v>
      </c>
      <c r="F15" t="s">
        <v>9</v>
      </c>
      <c r="G15">
        <v>5</v>
      </c>
      <c r="H15">
        <v>4950</v>
      </c>
      <c r="I15">
        <v>27639.000000000004</v>
      </c>
      <c r="J15">
        <v>22689.000000000004</v>
      </c>
      <c r="K15" t="s">
        <v>103</v>
      </c>
    </row>
    <row r="16" spans="1:11" x14ac:dyDescent="0.25">
      <c r="A16">
        <v>116</v>
      </c>
      <c r="B16" t="s">
        <v>123</v>
      </c>
      <c r="C16" t="s">
        <v>156</v>
      </c>
      <c r="D16">
        <v>2000</v>
      </c>
      <c r="E16">
        <v>8.5</v>
      </c>
      <c r="F16" t="s">
        <v>14</v>
      </c>
      <c r="G16">
        <v>5</v>
      </c>
      <c r="H16">
        <v>9270</v>
      </c>
      <c r="I16">
        <v>41445</v>
      </c>
      <c r="J16">
        <v>32175</v>
      </c>
      <c r="K16" t="s">
        <v>103</v>
      </c>
    </row>
    <row r="17" spans="1:11" x14ac:dyDescent="0.25">
      <c r="A17">
        <v>117</v>
      </c>
      <c r="B17" t="s">
        <v>124</v>
      </c>
      <c r="C17" t="s">
        <v>156</v>
      </c>
      <c r="D17">
        <v>1997</v>
      </c>
      <c r="E17">
        <v>7.9</v>
      </c>
      <c r="F17" t="s">
        <v>10</v>
      </c>
      <c r="G17">
        <v>5</v>
      </c>
      <c r="H17">
        <v>18000</v>
      </c>
      <c r="I17">
        <v>198180</v>
      </c>
      <c r="J17">
        <v>180180</v>
      </c>
      <c r="K17" t="s">
        <v>103</v>
      </c>
    </row>
    <row r="18" spans="1:11" x14ac:dyDescent="0.25">
      <c r="A18">
        <v>118</v>
      </c>
      <c r="B18" t="s">
        <v>125</v>
      </c>
      <c r="C18" t="s">
        <v>156</v>
      </c>
      <c r="D18">
        <v>1946</v>
      </c>
      <c r="E18">
        <v>8.6</v>
      </c>
      <c r="F18" t="s">
        <v>11</v>
      </c>
      <c r="G18">
        <v>5</v>
      </c>
      <c r="H18">
        <v>286.2</v>
      </c>
      <c r="I18">
        <v>297</v>
      </c>
      <c r="J18">
        <v>10.800000000000011</v>
      </c>
      <c r="K18" t="s">
        <v>103</v>
      </c>
    </row>
    <row r="19" spans="1:11" x14ac:dyDescent="0.25">
      <c r="A19">
        <v>119</v>
      </c>
      <c r="B19" t="s">
        <v>126</v>
      </c>
      <c r="C19" t="s">
        <v>156</v>
      </c>
      <c r="D19">
        <v>2009</v>
      </c>
      <c r="E19">
        <v>7.8</v>
      </c>
      <c r="F19" t="s">
        <v>12</v>
      </c>
      <c r="G19">
        <v>5</v>
      </c>
      <c r="H19">
        <v>21330</v>
      </c>
      <c r="I19">
        <v>256230</v>
      </c>
      <c r="J19">
        <v>234900</v>
      </c>
      <c r="K19" t="s">
        <v>103</v>
      </c>
    </row>
    <row r="20" spans="1:11" x14ac:dyDescent="0.25">
      <c r="A20">
        <v>120</v>
      </c>
      <c r="B20" t="s">
        <v>127</v>
      </c>
      <c r="C20" t="s">
        <v>156</v>
      </c>
      <c r="D20">
        <v>1972</v>
      </c>
      <c r="E20">
        <v>9.1999999999999993</v>
      </c>
      <c r="F20" t="s">
        <v>10</v>
      </c>
      <c r="G20">
        <v>5</v>
      </c>
      <c r="H20">
        <v>648</v>
      </c>
      <c r="I20">
        <v>26190</v>
      </c>
      <c r="J20">
        <v>25542</v>
      </c>
      <c r="K20" t="s">
        <v>103</v>
      </c>
    </row>
    <row r="21" spans="1:11" x14ac:dyDescent="0.25">
      <c r="A21">
        <v>121</v>
      </c>
      <c r="B21" t="s">
        <v>128</v>
      </c>
      <c r="C21" t="s">
        <v>156</v>
      </c>
      <c r="D21">
        <v>2008</v>
      </c>
      <c r="E21">
        <v>9</v>
      </c>
      <c r="F21" t="s">
        <v>13</v>
      </c>
      <c r="G21">
        <v>5</v>
      </c>
      <c r="H21">
        <v>16650</v>
      </c>
      <c r="I21">
        <v>90540</v>
      </c>
      <c r="J21">
        <v>73890</v>
      </c>
      <c r="K21" t="s">
        <v>103</v>
      </c>
    </row>
    <row r="22" spans="1:11" x14ac:dyDescent="0.25">
      <c r="A22">
        <v>122</v>
      </c>
      <c r="B22" t="s">
        <v>129</v>
      </c>
      <c r="C22" t="s">
        <v>156</v>
      </c>
      <c r="D22">
        <v>1993</v>
      </c>
      <c r="E22">
        <v>9</v>
      </c>
      <c r="F22" t="s">
        <v>14</v>
      </c>
      <c r="G22">
        <v>5</v>
      </c>
      <c r="H22">
        <v>1980</v>
      </c>
      <c r="I22">
        <v>28998</v>
      </c>
      <c r="J22">
        <v>27018</v>
      </c>
      <c r="K22" t="s">
        <v>103</v>
      </c>
    </row>
    <row r="23" spans="1:11" x14ac:dyDescent="0.25">
      <c r="A23">
        <v>123</v>
      </c>
      <c r="B23" t="s">
        <v>130</v>
      </c>
      <c r="C23" t="s">
        <v>156</v>
      </c>
      <c r="D23">
        <v>1993</v>
      </c>
      <c r="E23">
        <v>8.1999999999999993</v>
      </c>
      <c r="F23" t="s">
        <v>14</v>
      </c>
      <c r="G23">
        <v>5</v>
      </c>
      <c r="H23">
        <v>5670</v>
      </c>
      <c r="I23">
        <v>94140</v>
      </c>
      <c r="J23">
        <v>88470</v>
      </c>
      <c r="K23" t="s">
        <v>103</v>
      </c>
    </row>
    <row r="24" spans="1:11" x14ac:dyDescent="0.25">
      <c r="A24">
        <v>124</v>
      </c>
      <c r="B24" t="s">
        <v>131</v>
      </c>
      <c r="C24" t="s">
        <v>156</v>
      </c>
      <c r="D24">
        <v>2019</v>
      </c>
      <c r="E24">
        <v>8.5</v>
      </c>
      <c r="F24" t="s">
        <v>148</v>
      </c>
      <c r="G24">
        <v>5</v>
      </c>
      <c r="H24">
        <v>1395</v>
      </c>
      <c r="I24">
        <v>23679.000000000004</v>
      </c>
      <c r="J24">
        <v>22284.000000000004</v>
      </c>
      <c r="K24" t="s">
        <v>103</v>
      </c>
    </row>
    <row r="25" spans="1:11" x14ac:dyDescent="0.25">
      <c r="A25">
        <v>125</v>
      </c>
      <c r="B25" t="s">
        <v>132</v>
      </c>
      <c r="C25" t="s">
        <v>156</v>
      </c>
      <c r="D25">
        <v>2019</v>
      </c>
      <c r="E25">
        <v>8.4</v>
      </c>
      <c r="F25" t="s">
        <v>3</v>
      </c>
      <c r="G25">
        <v>5</v>
      </c>
      <c r="H25">
        <v>36000</v>
      </c>
      <c r="I25">
        <v>251820</v>
      </c>
      <c r="J25">
        <v>215820</v>
      </c>
      <c r="K25" t="s">
        <v>103</v>
      </c>
    </row>
    <row r="26" spans="1:11" x14ac:dyDescent="0.25">
      <c r="A26">
        <v>126</v>
      </c>
      <c r="B26" t="s">
        <v>133</v>
      </c>
      <c r="C26" t="s">
        <v>156</v>
      </c>
      <c r="D26">
        <v>2018</v>
      </c>
      <c r="E26">
        <v>8.4</v>
      </c>
      <c r="F26" t="s">
        <v>3</v>
      </c>
      <c r="G26">
        <v>5</v>
      </c>
      <c r="H26">
        <v>36000</v>
      </c>
      <c r="I26">
        <v>184320</v>
      </c>
      <c r="J26">
        <v>148320</v>
      </c>
      <c r="K26" t="s">
        <v>103</v>
      </c>
    </row>
    <row r="27" spans="1:11" x14ac:dyDescent="0.25">
      <c r="A27">
        <v>127</v>
      </c>
      <c r="B27" t="s">
        <v>134</v>
      </c>
      <c r="C27" t="s">
        <v>155</v>
      </c>
      <c r="D27">
        <v>1955</v>
      </c>
      <c r="E27">
        <v>8.3000000000000007</v>
      </c>
      <c r="F27" t="s">
        <v>150</v>
      </c>
      <c r="G27">
        <v>7</v>
      </c>
      <c r="H27">
        <v>70</v>
      </c>
      <c r="I27">
        <v>100</v>
      </c>
      <c r="J27">
        <v>30</v>
      </c>
      <c r="K27" t="s">
        <v>105</v>
      </c>
    </row>
    <row r="28" spans="1:11" x14ac:dyDescent="0.25">
      <c r="A28">
        <v>128</v>
      </c>
      <c r="B28" t="s">
        <v>135</v>
      </c>
      <c r="C28" t="s">
        <v>155</v>
      </c>
      <c r="D28">
        <v>2007</v>
      </c>
      <c r="E28">
        <v>8.3000000000000007</v>
      </c>
      <c r="F28" t="s">
        <v>148</v>
      </c>
      <c r="G28">
        <v>1</v>
      </c>
      <c r="H28">
        <v>120</v>
      </c>
      <c r="I28">
        <v>1350</v>
      </c>
      <c r="J28">
        <v>1230</v>
      </c>
      <c r="K28" t="s">
        <v>99</v>
      </c>
    </row>
    <row r="29" spans="1:11" x14ac:dyDescent="0.25">
      <c r="A29">
        <v>129</v>
      </c>
      <c r="B29" t="s">
        <v>136</v>
      </c>
      <c r="C29" t="s">
        <v>155</v>
      </c>
      <c r="D29">
        <v>2003</v>
      </c>
      <c r="E29">
        <v>8.1</v>
      </c>
      <c r="F29" t="s">
        <v>15</v>
      </c>
      <c r="G29">
        <v>1</v>
      </c>
      <c r="H29">
        <v>100</v>
      </c>
      <c r="I29">
        <v>410</v>
      </c>
      <c r="J29">
        <v>310</v>
      </c>
      <c r="K29" t="s">
        <v>99</v>
      </c>
    </row>
    <row r="30" spans="1:11" x14ac:dyDescent="0.25">
      <c r="A30">
        <v>130</v>
      </c>
      <c r="B30" t="s">
        <v>137</v>
      </c>
      <c r="C30" t="s">
        <v>155</v>
      </c>
      <c r="D30">
        <v>2014</v>
      </c>
      <c r="E30">
        <v>8.1</v>
      </c>
      <c r="F30" t="s">
        <v>16</v>
      </c>
      <c r="G30">
        <v>1</v>
      </c>
      <c r="H30">
        <v>850</v>
      </c>
      <c r="I30">
        <v>8540</v>
      </c>
      <c r="J30">
        <v>7690</v>
      </c>
      <c r="K30" t="s">
        <v>99</v>
      </c>
    </row>
    <row r="31" spans="1:11" x14ac:dyDescent="0.25">
      <c r="A31">
        <v>131</v>
      </c>
      <c r="B31" t="s">
        <v>138</v>
      </c>
      <c r="C31" t="s">
        <v>155</v>
      </c>
      <c r="D31">
        <v>2018</v>
      </c>
      <c r="E31">
        <v>8</v>
      </c>
      <c r="F31" t="s">
        <v>16</v>
      </c>
      <c r="G31">
        <v>1</v>
      </c>
      <c r="H31">
        <v>1</v>
      </c>
      <c r="I31">
        <v>5.9</v>
      </c>
      <c r="J31">
        <v>4.9000000000000004</v>
      </c>
      <c r="K31" t="s">
        <v>99</v>
      </c>
    </row>
    <row r="32" spans="1:11" x14ac:dyDescent="0.25">
      <c r="A32">
        <v>132</v>
      </c>
      <c r="B32" t="s">
        <v>139</v>
      </c>
      <c r="C32" t="s">
        <v>155</v>
      </c>
      <c r="D32">
        <v>2021</v>
      </c>
      <c r="E32">
        <v>7.6</v>
      </c>
      <c r="F32" t="s">
        <v>17</v>
      </c>
      <c r="G32">
        <v>2</v>
      </c>
      <c r="H32">
        <v>2</v>
      </c>
      <c r="I32">
        <v>3.6</v>
      </c>
      <c r="J32">
        <v>1.6</v>
      </c>
      <c r="K32" t="s">
        <v>100</v>
      </c>
    </row>
    <row r="33" spans="1:11" x14ac:dyDescent="0.25">
      <c r="A33">
        <v>133</v>
      </c>
      <c r="B33" t="s">
        <v>140</v>
      </c>
      <c r="C33" t="s">
        <v>155</v>
      </c>
      <c r="D33">
        <v>2022</v>
      </c>
      <c r="E33">
        <v>8</v>
      </c>
      <c r="F33" t="s">
        <v>18</v>
      </c>
      <c r="G33">
        <v>2</v>
      </c>
      <c r="H33">
        <v>5.5</v>
      </c>
      <c r="I33">
        <v>12</v>
      </c>
      <c r="J33">
        <v>6.5</v>
      </c>
      <c r="K33" t="s">
        <v>100</v>
      </c>
    </row>
    <row r="34" spans="1:11" x14ac:dyDescent="0.25">
      <c r="A34">
        <v>134</v>
      </c>
      <c r="B34" t="s">
        <v>141</v>
      </c>
      <c r="C34" t="s">
        <v>155</v>
      </c>
      <c r="D34">
        <v>2015</v>
      </c>
      <c r="E34">
        <v>8</v>
      </c>
      <c r="F34" t="s">
        <v>19</v>
      </c>
      <c r="G34">
        <v>2</v>
      </c>
      <c r="H34">
        <v>1.8</v>
      </c>
      <c r="I34">
        <v>6.5</v>
      </c>
      <c r="J34">
        <v>4.7</v>
      </c>
      <c r="K34" t="s">
        <v>100</v>
      </c>
    </row>
    <row r="35" spans="1:11" x14ac:dyDescent="0.25">
      <c r="A35">
        <v>135</v>
      </c>
      <c r="B35" t="s">
        <v>142</v>
      </c>
      <c r="C35" t="s">
        <v>155</v>
      </c>
      <c r="D35">
        <v>2022</v>
      </c>
      <c r="E35">
        <v>8.3000000000000007</v>
      </c>
      <c r="F35" t="s">
        <v>20</v>
      </c>
      <c r="G35">
        <v>1</v>
      </c>
      <c r="H35">
        <v>250</v>
      </c>
      <c r="I35">
        <v>3409</v>
      </c>
      <c r="J35">
        <v>3159</v>
      </c>
      <c r="K35" t="s">
        <v>99</v>
      </c>
    </row>
    <row r="36" spans="1:11" x14ac:dyDescent="0.25">
      <c r="A36">
        <v>136</v>
      </c>
      <c r="B36" t="s">
        <v>143</v>
      </c>
      <c r="C36" t="s">
        <v>155</v>
      </c>
      <c r="D36">
        <v>2015</v>
      </c>
      <c r="E36">
        <v>8.1</v>
      </c>
      <c r="F36" t="s">
        <v>21</v>
      </c>
      <c r="G36">
        <v>1</v>
      </c>
      <c r="H36">
        <v>900</v>
      </c>
      <c r="I36">
        <v>11690</v>
      </c>
      <c r="J36">
        <v>10790</v>
      </c>
      <c r="K36" t="s">
        <v>99</v>
      </c>
    </row>
    <row r="37" spans="1:11" x14ac:dyDescent="0.25">
      <c r="A37">
        <v>137</v>
      </c>
      <c r="B37" t="s">
        <v>144</v>
      </c>
      <c r="C37" t="s">
        <v>156</v>
      </c>
      <c r="D37">
        <v>2011</v>
      </c>
      <c r="E37">
        <v>6.9</v>
      </c>
      <c r="F37" t="s">
        <v>3</v>
      </c>
      <c r="G37">
        <v>5</v>
      </c>
      <c r="H37">
        <v>19503</v>
      </c>
      <c r="I37">
        <v>33354</v>
      </c>
      <c r="J37">
        <v>13851</v>
      </c>
      <c r="K37" t="s">
        <v>103</v>
      </c>
    </row>
    <row r="38" spans="1:11" x14ac:dyDescent="0.25">
      <c r="A38">
        <v>138</v>
      </c>
      <c r="B38" t="s">
        <v>145</v>
      </c>
      <c r="C38" t="s">
        <v>156</v>
      </c>
      <c r="D38">
        <v>2014</v>
      </c>
      <c r="E38">
        <v>7.8</v>
      </c>
      <c r="F38" t="s">
        <v>3</v>
      </c>
      <c r="G38">
        <v>5</v>
      </c>
      <c r="H38">
        <v>15930</v>
      </c>
      <c r="I38">
        <v>64296</v>
      </c>
      <c r="J38">
        <v>48366</v>
      </c>
      <c r="K38" t="s">
        <v>103</v>
      </c>
    </row>
    <row r="39" spans="1:11" x14ac:dyDescent="0.25">
      <c r="A39">
        <v>139</v>
      </c>
      <c r="B39" t="s">
        <v>146</v>
      </c>
      <c r="C39" t="s">
        <v>155</v>
      </c>
      <c r="D39">
        <v>2018</v>
      </c>
      <c r="E39">
        <v>1.9</v>
      </c>
      <c r="F39" t="s">
        <v>21</v>
      </c>
      <c r="G39">
        <v>1</v>
      </c>
      <c r="H39">
        <v>1.8</v>
      </c>
      <c r="I39">
        <v>3.1</v>
      </c>
      <c r="J39">
        <v>1.3</v>
      </c>
      <c r="K39" t="s">
        <v>99</v>
      </c>
    </row>
    <row r="40" spans="1:11" x14ac:dyDescent="0.25">
      <c r="A40">
        <v>140</v>
      </c>
      <c r="B40" t="s">
        <v>147</v>
      </c>
      <c r="C40" t="s">
        <v>155</v>
      </c>
      <c r="D40">
        <v>2021</v>
      </c>
      <c r="E40">
        <v>8.4</v>
      </c>
      <c r="F40" t="s">
        <v>6</v>
      </c>
      <c r="G40">
        <v>1</v>
      </c>
      <c r="H40">
        <v>500</v>
      </c>
      <c r="I40">
        <v>950</v>
      </c>
      <c r="J40">
        <v>450</v>
      </c>
      <c r="K40" t="s">
        <v>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D489-B0DB-45C0-A385-8C0AB8541DE9}">
  <sheetPr codeName="Sheet4"/>
  <dimension ref="A1:G41"/>
  <sheetViews>
    <sheetView workbookViewId="0">
      <selection activeCell="G1" sqref="G1"/>
    </sheetView>
  </sheetViews>
  <sheetFormatPr defaultRowHeight="15" x14ac:dyDescent="0.25"/>
  <cols>
    <col min="1" max="1" width="18.28515625" customWidth="1"/>
    <col min="3" max="3" width="10.5703125" style="3" bestFit="1" customWidth="1"/>
    <col min="4" max="4" width="10.28515625" customWidth="1"/>
    <col min="5" max="5" width="14.28515625" customWidth="1"/>
    <col min="6" max="6" width="15.28515625" customWidth="1"/>
  </cols>
  <sheetData>
    <row r="1" spans="1:7" x14ac:dyDescent="0.25">
      <c r="A1" s="9" t="s">
        <v>108</v>
      </c>
      <c r="B1" s="10" t="s">
        <v>23</v>
      </c>
      <c r="C1" s="10" t="s">
        <v>24</v>
      </c>
      <c r="D1" s="11" t="s">
        <v>25</v>
      </c>
      <c r="E1" s="11" t="s">
        <v>107</v>
      </c>
      <c r="F1" s="11" t="s">
        <v>151</v>
      </c>
      <c r="G1" s="12" t="s">
        <v>152</v>
      </c>
    </row>
    <row r="2" spans="1:7" x14ac:dyDescent="0.25">
      <c r="A2" s="4">
        <v>101</v>
      </c>
      <c r="B2" s="2">
        <v>1</v>
      </c>
      <c r="C2" s="2">
        <v>12.5</v>
      </c>
      <c r="D2" s="1" t="s">
        <v>26</v>
      </c>
      <c r="E2" s="1">
        <v>1</v>
      </c>
      <c r="F2" s="1">
        <f>IF(D2="USD",C2*90,C2)</f>
        <v>12.5</v>
      </c>
      <c r="G2" s="5">
        <f>F2-E2</f>
        <v>11.5</v>
      </c>
    </row>
    <row r="3" spans="1:7" x14ac:dyDescent="0.25">
      <c r="A3" s="4">
        <v>102</v>
      </c>
      <c r="B3" s="2">
        <v>200</v>
      </c>
      <c r="C3" s="2">
        <v>954.8</v>
      </c>
      <c r="D3" s="1" t="s">
        <v>27</v>
      </c>
      <c r="E3" s="1">
        <f t="shared" ref="E3:E41" si="0">IF(D3="USD",B3*90,B3)</f>
        <v>18000</v>
      </c>
      <c r="F3" s="1">
        <f t="shared" ref="F3:F41" si="1">IF(D3="USD",C3*90,C3)</f>
        <v>85932</v>
      </c>
      <c r="G3" s="5">
        <f t="shared" ref="G3:G41" si="2">F3-E3</f>
        <v>67932</v>
      </c>
    </row>
    <row r="4" spans="1:7" x14ac:dyDescent="0.25">
      <c r="A4" s="4">
        <v>103</v>
      </c>
      <c r="B4" s="2">
        <v>165</v>
      </c>
      <c r="C4" s="2">
        <v>644.79999999999995</v>
      </c>
      <c r="D4" s="1" t="s">
        <v>27</v>
      </c>
      <c r="E4" s="1">
        <f t="shared" si="0"/>
        <v>14850</v>
      </c>
      <c r="F4" s="1">
        <f t="shared" si="1"/>
        <v>58031.999999999993</v>
      </c>
      <c r="G4" s="5">
        <f t="shared" si="2"/>
        <v>43181.999999999993</v>
      </c>
    </row>
    <row r="5" spans="1:7" x14ac:dyDescent="0.25">
      <c r="A5" s="4">
        <v>104</v>
      </c>
      <c r="B5" s="2">
        <v>180</v>
      </c>
      <c r="C5" s="2">
        <v>854</v>
      </c>
      <c r="D5" s="1" t="s">
        <v>27</v>
      </c>
      <c r="E5" s="1">
        <f t="shared" si="0"/>
        <v>16200</v>
      </c>
      <c r="F5" s="1">
        <f t="shared" si="1"/>
        <v>76860</v>
      </c>
      <c r="G5" s="5">
        <f t="shared" si="2"/>
        <v>60660</v>
      </c>
    </row>
    <row r="6" spans="1:7" x14ac:dyDescent="0.25">
      <c r="A6" s="4">
        <v>105</v>
      </c>
      <c r="B6" s="2">
        <v>250</v>
      </c>
      <c r="C6" s="2">
        <v>670</v>
      </c>
      <c r="D6" s="1" t="s">
        <v>27</v>
      </c>
      <c r="E6" s="1">
        <f t="shared" si="0"/>
        <v>22500</v>
      </c>
      <c r="F6" s="1">
        <f t="shared" si="1"/>
        <v>60300</v>
      </c>
      <c r="G6" s="5">
        <f t="shared" si="2"/>
        <v>37800</v>
      </c>
    </row>
    <row r="7" spans="1:7" x14ac:dyDescent="0.25">
      <c r="A7" s="4">
        <v>107</v>
      </c>
      <c r="B7" s="2">
        <v>400</v>
      </c>
      <c r="C7" s="2">
        <v>2000</v>
      </c>
      <c r="D7" s="1" t="s">
        <v>26</v>
      </c>
      <c r="E7" s="1">
        <f t="shared" si="0"/>
        <v>400</v>
      </c>
      <c r="F7" s="1">
        <f t="shared" si="1"/>
        <v>2000</v>
      </c>
      <c r="G7" s="5">
        <f t="shared" si="2"/>
        <v>1600</v>
      </c>
    </row>
    <row r="8" spans="1:7" x14ac:dyDescent="0.25">
      <c r="A8" s="4">
        <v>108</v>
      </c>
      <c r="B8" s="2">
        <v>550</v>
      </c>
      <c r="C8" s="2">
        <v>4000</v>
      </c>
      <c r="D8" s="1" t="s">
        <v>26</v>
      </c>
      <c r="E8" s="1">
        <f t="shared" si="0"/>
        <v>550</v>
      </c>
      <c r="F8" s="1">
        <f t="shared" si="1"/>
        <v>4000</v>
      </c>
      <c r="G8" s="5">
        <f t="shared" si="2"/>
        <v>3450</v>
      </c>
    </row>
    <row r="9" spans="1:7" x14ac:dyDescent="0.25">
      <c r="A9" s="4">
        <v>109</v>
      </c>
      <c r="B9" s="2">
        <v>390</v>
      </c>
      <c r="C9" s="2">
        <v>1360</v>
      </c>
      <c r="D9" s="1" t="s">
        <v>26</v>
      </c>
      <c r="E9" s="1">
        <f t="shared" si="0"/>
        <v>390</v>
      </c>
      <c r="F9" s="1">
        <f t="shared" si="1"/>
        <v>1360</v>
      </c>
      <c r="G9" s="5">
        <f t="shared" si="2"/>
        <v>970</v>
      </c>
    </row>
    <row r="10" spans="1:7" x14ac:dyDescent="0.25">
      <c r="A10" s="4">
        <v>110</v>
      </c>
      <c r="B10" s="2">
        <v>1.4</v>
      </c>
      <c r="C10" s="2">
        <v>3.5</v>
      </c>
      <c r="D10" s="1" t="s">
        <v>26</v>
      </c>
      <c r="E10" s="1">
        <f t="shared" si="0"/>
        <v>1.4</v>
      </c>
      <c r="F10" s="1">
        <f t="shared" si="1"/>
        <v>3.5</v>
      </c>
      <c r="G10" s="5">
        <f t="shared" si="2"/>
        <v>2.1</v>
      </c>
    </row>
    <row r="11" spans="1:7" x14ac:dyDescent="0.25">
      <c r="A11" s="4">
        <v>111</v>
      </c>
      <c r="B11" s="2">
        <v>25</v>
      </c>
      <c r="C11" s="2">
        <v>73.3</v>
      </c>
      <c r="D11" s="1" t="s">
        <v>27</v>
      </c>
      <c r="E11" s="1">
        <f t="shared" si="0"/>
        <v>2250</v>
      </c>
      <c r="F11" s="1">
        <f t="shared" si="1"/>
        <v>6597</v>
      </c>
      <c r="G11" s="5">
        <f t="shared" si="2"/>
        <v>4347</v>
      </c>
    </row>
    <row r="12" spans="1:7" x14ac:dyDescent="0.25">
      <c r="A12" s="4">
        <v>113</v>
      </c>
      <c r="B12" s="2">
        <v>165</v>
      </c>
      <c r="C12" s="2">
        <v>701.8</v>
      </c>
      <c r="D12" s="1" t="s">
        <v>27</v>
      </c>
      <c r="E12" s="1">
        <f t="shared" si="0"/>
        <v>14850</v>
      </c>
      <c r="F12" s="1">
        <f t="shared" si="1"/>
        <v>63161.999999999993</v>
      </c>
      <c r="G12" s="5">
        <f t="shared" si="2"/>
        <v>48311.999999999993</v>
      </c>
    </row>
    <row r="13" spans="1:7" x14ac:dyDescent="0.25">
      <c r="A13" s="4">
        <v>114</v>
      </c>
      <c r="B13" s="2">
        <v>205</v>
      </c>
      <c r="C13" s="2">
        <v>365.3</v>
      </c>
      <c r="D13" s="1" t="s">
        <v>27</v>
      </c>
      <c r="E13" s="1">
        <f t="shared" si="0"/>
        <v>18450</v>
      </c>
      <c r="F13" s="1">
        <f t="shared" si="1"/>
        <v>32877</v>
      </c>
      <c r="G13" s="5">
        <f t="shared" si="2"/>
        <v>14427</v>
      </c>
    </row>
    <row r="14" spans="1:7" x14ac:dyDescent="0.25">
      <c r="A14" s="4">
        <v>115</v>
      </c>
      <c r="B14" s="2">
        <v>55</v>
      </c>
      <c r="C14" s="2">
        <v>307.10000000000002</v>
      </c>
      <c r="D14" s="1" t="s">
        <v>27</v>
      </c>
      <c r="E14" s="1">
        <f t="shared" si="0"/>
        <v>4950</v>
      </c>
      <c r="F14" s="1">
        <f t="shared" si="1"/>
        <v>27639.000000000004</v>
      </c>
      <c r="G14" s="5">
        <f t="shared" si="2"/>
        <v>22689.000000000004</v>
      </c>
    </row>
    <row r="15" spans="1:7" x14ac:dyDescent="0.25">
      <c r="A15" s="4">
        <v>116</v>
      </c>
      <c r="B15" s="2">
        <v>103</v>
      </c>
      <c r="C15" s="2">
        <v>460.5</v>
      </c>
      <c r="D15" s="1" t="s">
        <v>27</v>
      </c>
      <c r="E15" s="1">
        <f t="shared" si="0"/>
        <v>9270</v>
      </c>
      <c r="F15" s="1">
        <f t="shared" si="1"/>
        <v>41445</v>
      </c>
      <c r="G15" s="5">
        <f t="shared" si="2"/>
        <v>32175</v>
      </c>
    </row>
    <row r="16" spans="1:7" x14ac:dyDescent="0.25">
      <c r="A16" s="4">
        <v>117</v>
      </c>
      <c r="B16" s="2">
        <v>200</v>
      </c>
      <c r="C16" s="2">
        <v>2202</v>
      </c>
      <c r="D16" s="1" t="s">
        <v>27</v>
      </c>
      <c r="E16" s="1">
        <f t="shared" si="0"/>
        <v>18000</v>
      </c>
      <c r="F16" s="1">
        <f t="shared" si="1"/>
        <v>198180</v>
      </c>
      <c r="G16" s="5">
        <f t="shared" si="2"/>
        <v>180180</v>
      </c>
    </row>
    <row r="17" spans="1:7" x14ac:dyDescent="0.25">
      <c r="A17" s="4">
        <v>118</v>
      </c>
      <c r="B17" s="2">
        <v>3.18</v>
      </c>
      <c r="C17" s="2">
        <v>3.3</v>
      </c>
      <c r="D17" s="1" t="s">
        <v>27</v>
      </c>
      <c r="E17" s="1">
        <f t="shared" si="0"/>
        <v>286.2</v>
      </c>
      <c r="F17" s="1">
        <f t="shared" si="1"/>
        <v>297</v>
      </c>
      <c r="G17" s="5">
        <f t="shared" si="2"/>
        <v>10.800000000000011</v>
      </c>
    </row>
    <row r="18" spans="1:7" x14ac:dyDescent="0.25">
      <c r="A18" s="4">
        <v>119</v>
      </c>
      <c r="B18" s="2">
        <v>237</v>
      </c>
      <c r="C18" s="2">
        <v>2847</v>
      </c>
      <c r="D18" s="1" t="s">
        <v>27</v>
      </c>
      <c r="E18" s="1">
        <f t="shared" si="0"/>
        <v>21330</v>
      </c>
      <c r="F18" s="1">
        <f t="shared" si="1"/>
        <v>256230</v>
      </c>
      <c r="G18" s="5">
        <f t="shared" si="2"/>
        <v>234900</v>
      </c>
    </row>
    <row r="19" spans="1:7" x14ac:dyDescent="0.25">
      <c r="A19" s="4">
        <v>120</v>
      </c>
      <c r="B19" s="2">
        <v>7.2</v>
      </c>
      <c r="C19" s="2">
        <v>291</v>
      </c>
      <c r="D19" s="1" t="s">
        <v>27</v>
      </c>
      <c r="E19" s="1">
        <f t="shared" si="0"/>
        <v>648</v>
      </c>
      <c r="F19" s="1">
        <f t="shared" si="1"/>
        <v>26190</v>
      </c>
      <c r="G19" s="5">
        <f t="shared" si="2"/>
        <v>25542</v>
      </c>
    </row>
    <row r="20" spans="1:7" x14ac:dyDescent="0.25">
      <c r="A20" s="4">
        <v>121</v>
      </c>
      <c r="B20" s="2">
        <v>185</v>
      </c>
      <c r="C20" s="2">
        <v>1006</v>
      </c>
      <c r="D20" s="1" t="s">
        <v>27</v>
      </c>
      <c r="E20" s="1">
        <f t="shared" si="0"/>
        <v>16650</v>
      </c>
      <c r="F20" s="1">
        <f t="shared" si="1"/>
        <v>90540</v>
      </c>
      <c r="G20" s="5">
        <f t="shared" si="2"/>
        <v>73890</v>
      </c>
    </row>
    <row r="21" spans="1:7" x14ac:dyDescent="0.25">
      <c r="A21" s="4">
        <v>122</v>
      </c>
      <c r="B21" s="2">
        <v>22</v>
      </c>
      <c r="C21" s="2">
        <v>322.2</v>
      </c>
      <c r="D21" s="1" t="s">
        <v>27</v>
      </c>
      <c r="E21" s="1">
        <f t="shared" si="0"/>
        <v>1980</v>
      </c>
      <c r="F21" s="1">
        <f t="shared" si="1"/>
        <v>28998</v>
      </c>
      <c r="G21" s="5">
        <f t="shared" si="2"/>
        <v>27018</v>
      </c>
    </row>
    <row r="22" spans="1:7" x14ac:dyDescent="0.25">
      <c r="A22" s="4">
        <v>123</v>
      </c>
      <c r="B22" s="2">
        <v>63</v>
      </c>
      <c r="C22" s="2">
        <v>1046</v>
      </c>
      <c r="D22" s="1" t="s">
        <v>27</v>
      </c>
      <c r="E22" s="1">
        <f t="shared" si="0"/>
        <v>5670</v>
      </c>
      <c r="F22" s="1">
        <f t="shared" si="1"/>
        <v>94140</v>
      </c>
      <c r="G22" s="5">
        <f t="shared" si="2"/>
        <v>88470</v>
      </c>
    </row>
    <row r="23" spans="1:7" x14ac:dyDescent="0.25">
      <c r="A23" s="4">
        <v>124</v>
      </c>
      <c r="B23" s="2">
        <v>15.5</v>
      </c>
      <c r="C23" s="2">
        <v>263.10000000000002</v>
      </c>
      <c r="D23" s="1" t="s">
        <v>27</v>
      </c>
      <c r="E23" s="1">
        <f t="shared" si="0"/>
        <v>1395</v>
      </c>
      <c r="F23" s="1">
        <f t="shared" si="1"/>
        <v>23679.000000000004</v>
      </c>
      <c r="G23" s="5">
        <f t="shared" si="2"/>
        <v>22284.000000000004</v>
      </c>
    </row>
    <row r="24" spans="1:7" x14ac:dyDescent="0.25">
      <c r="A24" s="4">
        <v>125</v>
      </c>
      <c r="B24" s="2">
        <v>400</v>
      </c>
      <c r="C24" s="2">
        <v>2798</v>
      </c>
      <c r="D24" s="1" t="s">
        <v>27</v>
      </c>
      <c r="E24" s="1">
        <f t="shared" si="0"/>
        <v>36000</v>
      </c>
      <c r="F24" s="1">
        <f t="shared" si="1"/>
        <v>251820</v>
      </c>
      <c r="G24" s="5">
        <f t="shared" si="2"/>
        <v>215820</v>
      </c>
    </row>
    <row r="25" spans="1:7" x14ac:dyDescent="0.25">
      <c r="A25" s="4">
        <v>126</v>
      </c>
      <c r="B25" s="2">
        <v>400</v>
      </c>
      <c r="C25" s="2">
        <v>2048</v>
      </c>
      <c r="D25" s="1" t="s">
        <v>27</v>
      </c>
      <c r="E25" s="1">
        <f t="shared" si="0"/>
        <v>36000</v>
      </c>
      <c r="F25" s="1">
        <f t="shared" si="1"/>
        <v>184320</v>
      </c>
      <c r="G25" s="5">
        <f t="shared" si="2"/>
        <v>148320</v>
      </c>
    </row>
    <row r="26" spans="1:7" x14ac:dyDescent="0.25">
      <c r="A26" s="4">
        <v>127</v>
      </c>
      <c r="B26" s="2">
        <v>70</v>
      </c>
      <c r="C26" s="2">
        <v>100</v>
      </c>
      <c r="D26" s="1" t="s">
        <v>26</v>
      </c>
      <c r="E26" s="1">
        <f t="shared" si="0"/>
        <v>70</v>
      </c>
      <c r="F26" s="1">
        <f t="shared" si="1"/>
        <v>100</v>
      </c>
      <c r="G26" s="5">
        <f t="shared" si="2"/>
        <v>30</v>
      </c>
    </row>
    <row r="27" spans="1:7" x14ac:dyDescent="0.25">
      <c r="A27" s="4">
        <v>128</v>
      </c>
      <c r="B27" s="2">
        <v>120</v>
      </c>
      <c r="C27" s="2">
        <v>1350</v>
      </c>
      <c r="D27" s="1" t="s">
        <v>26</v>
      </c>
      <c r="E27" s="1">
        <f t="shared" si="0"/>
        <v>120</v>
      </c>
      <c r="F27" s="1">
        <f t="shared" si="1"/>
        <v>1350</v>
      </c>
      <c r="G27" s="5">
        <f t="shared" si="2"/>
        <v>1230</v>
      </c>
    </row>
    <row r="28" spans="1:7" x14ac:dyDescent="0.25">
      <c r="A28" s="4">
        <v>129</v>
      </c>
      <c r="B28" s="2">
        <v>100</v>
      </c>
      <c r="C28" s="2">
        <v>410</v>
      </c>
      <c r="D28" s="1" t="s">
        <v>26</v>
      </c>
      <c r="E28" s="1">
        <f t="shared" si="0"/>
        <v>100</v>
      </c>
      <c r="F28" s="1">
        <f t="shared" si="1"/>
        <v>410</v>
      </c>
      <c r="G28" s="5">
        <f t="shared" si="2"/>
        <v>310</v>
      </c>
    </row>
    <row r="29" spans="1:7" x14ac:dyDescent="0.25">
      <c r="A29" s="4">
        <v>130</v>
      </c>
      <c r="B29" s="2">
        <v>850</v>
      </c>
      <c r="C29" s="2">
        <v>8540</v>
      </c>
      <c r="D29" s="1" t="s">
        <v>26</v>
      </c>
      <c r="E29" s="1">
        <f t="shared" si="0"/>
        <v>850</v>
      </c>
      <c r="F29" s="1">
        <f t="shared" si="1"/>
        <v>8540</v>
      </c>
      <c r="G29" s="5">
        <f t="shared" si="2"/>
        <v>7690</v>
      </c>
    </row>
    <row r="30" spans="1:7" x14ac:dyDescent="0.25">
      <c r="A30" s="4">
        <v>131</v>
      </c>
      <c r="B30" s="2">
        <v>1</v>
      </c>
      <c r="C30" s="2">
        <v>5.9</v>
      </c>
      <c r="D30" s="1" t="s">
        <v>26</v>
      </c>
      <c r="E30" s="1">
        <f t="shared" si="0"/>
        <v>1</v>
      </c>
      <c r="F30" s="1">
        <f t="shared" si="1"/>
        <v>5.9</v>
      </c>
      <c r="G30" s="5">
        <f t="shared" si="2"/>
        <v>4.9000000000000004</v>
      </c>
    </row>
    <row r="31" spans="1:7" x14ac:dyDescent="0.25">
      <c r="A31" s="4">
        <v>132</v>
      </c>
      <c r="B31" s="2">
        <v>2</v>
      </c>
      <c r="C31" s="2">
        <v>3.6</v>
      </c>
      <c r="D31" s="1" t="s">
        <v>26</v>
      </c>
      <c r="E31" s="1">
        <f t="shared" si="0"/>
        <v>2</v>
      </c>
      <c r="F31" s="1">
        <f t="shared" si="1"/>
        <v>3.6</v>
      </c>
      <c r="G31" s="5">
        <f t="shared" si="2"/>
        <v>1.6</v>
      </c>
    </row>
    <row r="32" spans="1:7" x14ac:dyDescent="0.25">
      <c r="A32" s="4">
        <v>133</v>
      </c>
      <c r="B32" s="2">
        <v>5.5</v>
      </c>
      <c r="C32" s="2">
        <v>12</v>
      </c>
      <c r="D32" s="1" t="s">
        <v>26</v>
      </c>
      <c r="E32" s="1">
        <f t="shared" si="0"/>
        <v>5.5</v>
      </c>
      <c r="F32" s="1">
        <f t="shared" si="1"/>
        <v>12</v>
      </c>
      <c r="G32" s="5">
        <f t="shared" si="2"/>
        <v>6.5</v>
      </c>
    </row>
    <row r="33" spans="1:7" x14ac:dyDescent="0.25">
      <c r="A33" s="4">
        <v>134</v>
      </c>
      <c r="B33" s="2">
        <v>1.8</v>
      </c>
      <c r="C33" s="2">
        <v>6.5</v>
      </c>
      <c r="D33" s="1" t="s">
        <v>26</v>
      </c>
      <c r="E33" s="1">
        <f t="shared" si="0"/>
        <v>1.8</v>
      </c>
      <c r="F33" s="1">
        <f t="shared" si="1"/>
        <v>6.5</v>
      </c>
      <c r="G33" s="5">
        <f t="shared" si="2"/>
        <v>4.7</v>
      </c>
    </row>
    <row r="34" spans="1:7" x14ac:dyDescent="0.25">
      <c r="A34" s="4">
        <v>135</v>
      </c>
      <c r="B34" s="2">
        <v>250</v>
      </c>
      <c r="C34" s="2">
        <v>3409</v>
      </c>
      <c r="D34" s="1" t="s">
        <v>26</v>
      </c>
      <c r="E34" s="1">
        <f t="shared" si="0"/>
        <v>250</v>
      </c>
      <c r="F34" s="1">
        <f t="shared" si="1"/>
        <v>3409</v>
      </c>
      <c r="G34" s="5">
        <f t="shared" si="2"/>
        <v>3159</v>
      </c>
    </row>
    <row r="35" spans="1:7" x14ac:dyDescent="0.25">
      <c r="A35" s="4">
        <v>136</v>
      </c>
      <c r="B35" s="2">
        <v>900</v>
      </c>
      <c r="C35" s="2">
        <v>11690</v>
      </c>
      <c r="D35" s="1" t="s">
        <v>26</v>
      </c>
      <c r="E35" s="1">
        <f t="shared" si="0"/>
        <v>900</v>
      </c>
      <c r="F35" s="1">
        <f t="shared" si="1"/>
        <v>11690</v>
      </c>
      <c r="G35" s="5">
        <f t="shared" si="2"/>
        <v>10790</v>
      </c>
    </row>
    <row r="36" spans="1:7" x14ac:dyDescent="0.25">
      <c r="A36" s="4">
        <v>137</v>
      </c>
      <c r="B36" s="2">
        <v>216.7</v>
      </c>
      <c r="C36" s="2">
        <v>370.6</v>
      </c>
      <c r="D36" s="1" t="s">
        <v>27</v>
      </c>
      <c r="E36" s="1">
        <f t="shared" si="0"/>
        <v>19503</v>
      </c>
      <c r="F36" s="1">
        <f t="shared" si="1"/>
        <v>33354</v>
      </c>
      <c r="G36" s="5">
        <f t="shared" si="2"/>
        <v>13851</v>
      </c>
    </row>
    <row r="37" spans="1:7" x14ac:dyDescent="0.25">
      <c r="A37" s="4">
        <v>138</v>
      </c>
      <c r="B37" s="2">
        <v>177</v>
      </c>
      <c r="C37" s="2">
        <v>714.4</v>
      </c>
      <c r="D37" s="1" t="s">
        <v>27</v>
      </c>
      <c r="E37" s="1">
        <f t="shared" si="0"/>
        <v>15930</v>
      </c>
      <c r="F37" s="1">
        <f t="shared" si="1"/>
        <v>64296</v>
      </c>
      <c r="G37" s="5">
        <f t="shared" si="2"/>
        <v>48366</v>
      </c>
    </row>
    <row r="38" spans="1:7" x14ac:dyDescent="0.25">
      <c r="A38" s="4">
        <v>139</v>
      </c>
      <c r="B38" s="2">
        <v>1.8</v>
      </c>
      <c r="C38" s="2">
        <v>3.1</v>
      </c>
      <c r="D38" s="1" t="s">
        <v>26</v>
      </c>
      <c r="E38" s="1">
        <f t="shared" si="0"/>
        <v>1.8</v>
      </c>
      <c r="F38" s="1">
        <f t="shared" si="1"/>
        <v>3.1</v>
      </c>
      <c r="G38" s="5">
        <f t="shared" si="2"/>
        <v>1.3</v>
      </c>
    </row>
    <row r="39" spans="1:7" x14ac:dyDescent="0.25">
      <c r="A39" s="4">
        <v>140</v>
      </c>
      <c r="B39" s="2">
        <v>500</v>
      </c>
      <c r="C39" s="2">
        <v>950</v>
      </c>
      <c r="D39" s="1" t="s">
        <v>26</v>
      </c>
      <c r="E39" s="1">
        <f t="shared" si="0"/>
        <v>500</v>
      </c>
      <c r="F39" s="1">
        <f t="shared" si="1"/>
        <v>950</v>
      </c>
      <c r="G39" s="5">
        <f t="shared" si="2"/>
        <v>450</v>
      </c>
    </row>
    <row r="40" spans="1:7" x14ac:dyDescent="0.25">
      <c r="A40" s="4">
        <v>406</v>
      </c>
      <c r="B40" s="2">
        <v>30</v>
      </c>
      <c r="C40" s="2">
        <v>350</v>
      </c>
      <c r="D40" s="1" t="s">
        <v>26</v>
      </c>
      <c r="E40" s="1">
        <f t="shared" si="0"/>
        <v>30</v>
      </c>
      <c r="F40" s="1">
        <f t="shared" si="1"/>
        <v>350</v>
      </c>
      <c r="G40" s="5">
        <f t="shared" si="2"/>
        <v>320</v>
      </c>
    </row>
    <row r="41" spans="1:7" x14ac:dyDescent="0.25">
      <c r="A41" s="6">
        <v>412</v>
      </c>
      <c r="B41" s="13">
        <v>160</v>
      </c>
      <c r="C41" s="13">
        <v>836.8</v>
      </c>
      <c r="D41" s="7" t="s">
        <v>27</v>
      </c>
      <c r="E41" s="7">
        <f t="shared" si="0"/>
        <v>14400</v>
      </c>
      <c r="F41" s="7">
        <f t="shared" si="1"/>
        <v>75312</v>
      </c>
      <c r="G41" s="8">
        <f t="shared" si="2"/>
        <v>60912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04076-2980-4154-A837-6467760F90F9}">
  <sheetPr codeName="Sheet5"/>
  <dimension ref="A1:C76"/>
  <sheetViews>
    <sheetView workbookViewId="0">
      <selection activeCell="I17" sqref="I17"/>
    </sheetView>
  </sheetViews>
  <sheetFormatPr defaultRowHeight="15" x14ac:dyDescent="0.25"/>
  <cols>
    <col min="1" max="1" width="9.7109375" customWidth="1"/>
    <col min="2" max="2" width="22.28515625" bestFit="1" customWidth="1"/>
    <col min="3" max="3" width="11.5703125" customWidth="1"/>
  </cols>
  <sheetData>
    <row r="1" spans="1:3" x14ac:dyDescent="0.25">
      <c r="A1" s="9" t="s">
        <v>28</v>
      </c>
      <c r="B1" s="11" t="s">
        <v>29</v>
      </c>
      <c r="C1" s="12" t="s">
        <v>30</v>
      </c>
    </row>
    <row r="2" spans="1:3" x14ac:dyDescent="0.25">
      <c r="A2" s="4">
        <v>50</v>
      </c>
      <c r="B2" s="1" t="s">
        <v>31</v>
      </c>
      <c r="C2" s="5">
        <v>0</v>
      </c>
    </row>
    <row r="3" spans="1:3" x14ac:dyDescent="0.25">
      <c r="A3" s="4">
        <v>51</v>
      </c>
      <c r="B3" s="1" t="s">
        <v>32</v>
      </c>
      <c r="C3" s="5">
        <v>1959</v>
      </c>
    </row>
    <row r="4" spans="1:3" x14ac:dyDescent="0.25">
      <c r="A4" s="4">
        <v>52</v>
      </c>
      <c r="B4" s="1" t="s">
        <v>33</v>
      </c>
      <c r="C4" s="5">
        <v>1976</v>
      </c>
    </row>
    <row r="5" spans="1:3" x14ac:dyDescent="0.25">
      <c r="A5" s="4">
        <v>53</v>
      </c>
      <c r="B5" s="1" t="s">
        <v>34</v>
      </c>
      <c r="C5" s="5">
        <v>1989</v>
      </c>
    </row>
    <row r="6" spans="1:3" x14ac:dyDescent="0.25">
      <c r="A6" s="4">
        <v>54</v>
      </c>
      <c r="B6" s="1" t="s">
        <v>35</v>
      </c>
      <c r="C6" s="5">
        <v>1983</v>
      </c>
    </row>
    <row r="7" spans="1:3" x14ac:dyDescent="0.25">
      <c r="A7" s="4">
        <v>55</v>
      </c>
      <c r="B7" s="1" t="s">
        <v>36</v>
      </c>
      <c r="C7" s="5">
        <v>1981</v>
      </c>
    </row>
    <row r="8" spans="1:3" x14ac:dyDescent="0.25">
      <c r="A8" s="4">
        <v>56</v>
      </c>
      <c r="B8" s="1" t="s">
        <v>37</v>
      </c>
      <c r="C8" s="5">
        <v>1981</v>
      </c>
    </row>
    <row r="9" spans="1:3" x14ac:dyDescent="0.25">
      <c r="A9" s="4">
        <v>57</v>
      </c>
      <c r="B9" s="1" t="s">
        <v>38</v>
      </c>
      <c r="C9" s="5">
        <v>1942</v>
      </c>
    </row>
    <row r="10" spans="1:3" x14ac:dyDescent="0.25">
      <c r="A10" s="4">
        <v>58</v>
      </c>
      <c r="B10" s="1" t="s">
        <v>39</v>
      </c>
      <c r="C10" s="5">
        <v>1948</v>
      </c>
    </row>
    <row r="11" spans="1:3" x14ac:dyDescent="0.25">
      <c r="A11" s="4">
        <v>59</v>
      </c>
      <c r="B11" s="1" t="s">
        <v>40</v>
      </c>
      <c r="C11" s="5">
        <v>1965</v>
      </c>
    </row>
    <row r="12" spans="1:3" x14ac:dyDescent="0.25">
      <c r="A12" s="4">
        <v>60</v>
      </c>
      <c r="B12" s="1" t="s">
        <v>41</v>
      </c>
      <c r="C12" s="5">
        <v>1974</v>
      </c>
    </row>
    <row r="13" spans="1:3" x14ac:dyDescent="0.25">
      <c r="A13" s="4">
        <v>61</v>
      </c>
      <c r="B13" s="1" t="s">
        <v>42</v>
      </c>
      <c r="C13" s="5">
        <v>1965</v>
      </c>
    </row>
    <row r="14" spans="1:3" x14ac:dyDescent="0.25">
      <c r="A14" s="4">
        <v>62</v>
      </c>
      <c r="B14" s="1" t="s">
        <v>43</v>
      </c>
      <c r="C14" s="5">
        <v>1970</v>
      </c>
    </row>
    <row r="15" spans="1:3" x14ac:dyDescent="0.25">
      <c r="A15" s="4">
        <v>63</v>
      </c>
      <c r="B15" s="1" t="s">
        <v>44</v>
      </c>
      <c r="C15" s="5">
        <v>1979</v>
      </c>
    </row>
    <row r="16" spans="1:3" x14ac:dyDescent="0.25">
      <c r="A16" s="4">
        <v>64</v>
      </c>
      <c r="B16" s="1" t="s">
        <v>45</v>
      </c>
      <c r="C16" s="5">
        <v>1974</v>
      </c>
    </row>
    <row r="17" spans="1:3" x14ac:dyDescent="0.25">
      <c r="A17" s="4">
        <v>65</v>
      </c>
      <c r="B17" s="1" t="s">
        <v>46</v>
      </c>
      <c r="C17" s="5">
        <v>1985</v>
      </c>
    </row>
    <row r="18" spans="1:3" x14ac:dyDescent="0.25">
      <c r="A18" s="4">
        <v>66</v>
      </c>
      <c r="B18" s="1" t="s">
        <v>47</v>
      </c>
      <c r="C18" s="5">
        <v>1986</v>
      </c>
    </row>
    <row r="19" spans="1:3" x14ac:dyDescent="0.25">
      <c r="A19" s="4">
        <v>67</v>
      </c>
      <c r="B19" s="1" t="s">
        <v>48</v>
      </c>
      <c r="C19" s="5">
        <v>1958</v>
      </c>
    </row>
    <row r="20" spans="1:3" x14ac:dyDescent="0.25">
      <c r="A20" s="4">
        <v>68</v>
      </c>
      <c r="B20" s="1" t="s">
        <v>49</v>
      </c>
      <c r="C20" s="5">
        <v>1937</v>
      </c>
    </row>
    <row r="21" spans="1:3" x14ac:dyDescent="0.25">
      <c r="A21" s="4">
        <v>69</v>
      </c>
      <c r="B21" s="1" t="s">
        <v>50</v>
      </c>
      <c r="C21" s="5">
        <v>1974</v>
      </c>
    </row>
    <row r="22" spans="1:3" x14ac:dyDescent="0.25">
      <c r="A22" s="4">
        <v>70</v>
      </c>
      <c r="B22" s="1" t="s">
        <v>51</v>
      </c>
      <c r="C22" s="5">
        <v>1959</v>
      </c>
    </row>
    <row r="23" spans="1:3" x14ac:dyDescent="0.25">
      <c r="A23" s="4">
        <v>71</v>
      </c>
      <c r="B23" s="1" t="s">
        <v>52</v>
      </c>
      <c r="C23" s="5">
        <v>1969</v>
      </c>
    </row>
    <row r="24" spans="1:3" x14ac:dyDescent="0.25">
      <c r="A24" s="4">
        <v>72</v>
      </c>
      <c r="B24" s="1" t="s">
        <v>53</v>
      </c>
      <c r="C24" s="5">
        <v>1982</v>
      </c>
    </row>
    <row r="25" spans="1:3" x14ac:dyDescent="0.25">
      <c r="A25" s="4">
        <v>73</v>
      </c>
      <c r="B25" s="1" t="s">
        <v>54</v>
      </c>
      <c r="C25" s="5">
        <v>1984</v>
      </c>
    </row>
    <row r="26" spans="1:3" x14ac:dyDescent="0.25">
      <c r="A26" s="4">
        <v>74</v>
      </c>
      <c r="B26" s="1" t="s">
        <v>55</v>
      </c>
      <c r="C26" s="5">
        <v>1986</v>
      </c>
    </row>
    <row r="27" spans="1:3" x14ac:dyDescent="0.25">
      <c r="A27" s="4">
        <v>75</v>
      </c>
      <c r="B27" s="1" t="s">
        <v>56</v>
      </c>
      <c r="C27" s="5">
        <v>1968</v>
      </c>
    </row>
    <row r="28" spans="1:3" x14ac:dyDescent="0.25">
      <c r="A28" s="4">
        <v>76</v>
      </c>
      <c r="B28" s="1" t="s">
        <v>57</v>
      </c>
      <c r="C28" s="5">
        <v>1972</v>
      </c>
    </row>
    <row r="29" spans="1:3" x14ac:dyDescent="0.25">
      <c r="A29" s="4">
        <v>77</v>
      </c>
      <c r="B29" s="1" t="s">
        <v>58</v>
      </c>
      <c r="C29" s="5">
        <v>1964</v>
      </c>
    </row>
    <row r="30" spans="1:3" x14ac:dyDescent="0.25">
      <c r="A30" s="4">
        <v>78</v>
      </c>
      <c r="B30" s="1" t="s">
        <v>59</v>
      </c>
      <c r="C30" s="5">
        <v>1974</v>
      </c>
    </row>
    <row r="31" spans="1:3" x14ac:dyDescent="0.25">
      <c r="A31" s="4">
        <v>79</v>
      </c>
      <c r="B31" s="1" t="s">
        <v>60</v>
      </c>
      <c r="C31" s="5">
        <v>1975</v>
      </c>
    </row>
    <row r="32" spans="1:3" x14ac:dyDescent="0.25">
      <c r="A32" s="4">
        <v>80</v>
      </c>
      <c r="B32" s="1" t="s">
        <v>61</v>
      </c>
      <c r="C32" s="5">
        <v>1908</v>
      </c>
    </row>
    <row r="33" spans="1:3" x14ac:dyDescent="0.25">
      <c r="A33" s="4">
        <v>81</v>
      </c>
      <c r="B33" s="1" t="s">
        <v>62</v>
      </c>
      <c r="C33" s="5">
        <v>1921</v>
      </c>
    </row>
    <row r="34" spans="1:3" x14ac:dyDescent="0.25">
      <c r="A34" s="4">
        <v>82</v>
      </c>
      <c r="B34" s="1" t="s">
        <v>63</v>
      </c>
      <c r="C34" s="5">
        <v>1976</v>
      </c>
    </row>
    <row r="35" spans="1:3" x14ac:dyDescent="0.25">
      <c r="A35" s="4">
        <v>83</v>
      </c>
      <c r="B35" s="1" t="s">
        <v>64</v>
      </c>
      <c r="C35" s="5">
        <v>1978</v>
      </c>
    </row>
    <row r="36" spans="1:3" x14ac:dyDescent="0.25">
      <c r="A36" s="4">
        <v>84</v>
      </c>
      <c r="B36" s="1" t="s">
        <v>65</v>
      </c>
      <c r="C36" s="5">
        <v>1924</v>
      </c>
    </row>
    <row r="37" spans="1:3" x14ac:dyDescent="0.25">
      <c r="A37" s="4">
        <v>85</v>
      </c>
      <c r="B37" s="1" t="s">
        <v>66</v>
      </c>
      <c r="C37" s="5">
        <v>1940</v>
      </c>
    </row>
    <row r="38" spans="1:3" x14ac:dyDescent="0.25">
      <c r="A38" s="4">
        <v>86</v>
      </c>
      <c r="B38" s="1" t="s">
        <v>67</v>
      </c>
      <c r="C38" s="5">
        <v>1974</v>
      </c>
    </row>
    <row r="39" spans="1:3" x14ac:dyDescent="0.25">
      <c r="A39" s="4">
        <v>87</v>
      </c>
      <c r="B39" s="1" t="s">
        <v>68</v>
      </c>
      <c r="C39" s="5">
        <v>1979</v>
      </c>
    </row>
    <row r="40" spans="1:3" x14ac:dyDescent="0.25">
      <c r="A40" s="4">
        <v>88</v>
      </c>
      <c r="B40" s="1" t="s">
        <v>69</v>
      </c>
      <c r="C40" s="5">
        <v>1952</v>
      </c>
    </row>
    <row r="41" spans="1:3" x14ac:dyDescent="0.25">
      <c r="A41" s="4">
        <v>89</v>
      </c>
      <c r="B41" s="1" t="s">
        <v>70</v>
      </c>
      <c r="C41" s="5">
        <v>1943</v>
      </c>
    </row>
    <row r="42" spans="1:3" x14ac:dyDescent="0.25">
      <c r="A42" s="4">
        <v>90</v>
      </c>
      <c r="B42" s="1" t="s">
        <v>71</v>
      </c>
      <c r="C42" s="5">
        <v>1947</v>
      </c>
    </row>
    <row r="43" spans="1:3" x14ac:dyDescent="0.25">
      <c r="A43" s="4">
        <v>91</v>
      </c>
      <c r="B43" s="1" t="s">
        <v>72</v>
      </c>
      <c r="C43" s="5">
        <v>1967</v>
      </c>
    </row>
    <row r="44" spans="1:3" x14ac:dyDescent="0.25">
      <c r="A44" s="4">
        <v>92</v>
      </c>
      <c r="B44" s="1" t="s">
        <v>73</v>
      </c>
      <c r="C44" s="5">
        <v>1967</v>
      </c>
    </row>
    <row r="45" spans="1:3" x14ac:dyDescent="0.25">
      <c r="A45" s="4">
        <v>93</v>
      </c>
      <c r="B45" s="1" t="s">
        <v>74</v>
      </c>
      <c r="C45" s="5">
        <v>1975</v>
      </c>
    </row>
    <row r="46" spans="1:3" x14ac:dyDescent="0.25">
      <c r="A46" s="4">
        <v>94</v>
      </c>
      <c r="B46" s="1" t="s">
        <v>75</v>
      </c>
      <c r="C46" s="5">
        <v>1965</v>
      </c>
    </row>
    <row r="47" spans="1:3" x14ac:dyDescent="0.25">
      <c r="A47" s="4">
        <v>95</v>
      </c>
      <c r="B47" s="1" t="s">
        <v>76</v>
      </c>
      <c r="C47" s="5">
        <v>1981</v>
      </c>
    </row>
    <row r="48" spans="1:3" x14ac:dyDescent="0.25">
      <c r="A48" s="4">
        <v>150</v>
      </c>
      <c r="B48" s="1" t="s">
        <v>77</v>
      </c>
      <c r="C48" s="5">
        <v>1905</v>
      </c>
    </row>
    <row r="49" spans="1:3" x14ac:dyDescent="0.25">
      <c r="A49" s="4">
        <v>151</v>
      </c>
      <c r="B49" s="1" t="s">
        <v>78</v>
      </c>
      <c r="C49" s="5">
        <v>1919</v>
      </c>
    </row>
    <row r="50" spans="1:3" x14ac:dyDescent="0.25">
      <c r="A50" s="4">
        <v>152</v>
      </c>
      <c r="B50" s="1" t="s">
        <v>79</v>
      </c>
      <c r="C50" s="5">
        <v>1997</v>
      </c>
    </row>
    <row r="51" spans="1:3" x14ac:dyDescent="0.25">
      <c r="A51" s="4">
        <v>153</v>
      </c>
      <c r="B51" s="1" t="s">
        <v>80</v>
      </c>
      <c r="C51" s="5">
        <v>1929</v>
      </c>
    </row>
    <row r="52" spans="1:3" x14ac:dyDescent="0.25">
      <c r="A52" s="4">
        <v>154</v>
      </c>
      <c r="B52" s="1" t="s">
        <v>81</v>
      </c>
      <c r="C52" s="5">
        <v>1988</v>
      </c>
    </row>
    <row r="53" spans="1:3" x14ac:dyDescent="0.25">
      <c r="A53" s="4">
        <v>155</v>
      </c>
      <c r="B53" s="1" t="s">
        <v>82</v>
      </c>
      <c r="C53" s="5">
        <v>1982</v>
      </c>
    </row>
    <row r="54" spans="1:3" x14ac:dyDescent="0.25">
      <c r="A54" s="4">
        <v>156</v>
      </c>
      <c r="B54" s="1" t="s">
        <v>83</v>
      </c>
      <c r="C54" s="5">
        <v>1982</v>
      </c>
    </row>
    <row r="55" spans="1:3" x14ac:dyDescent="0.25">
      <c r="A55" s="4">
        <v>157</v>
      </c>
      <c r="B55" s="1" t="s">
        <v>84</v>
      </c>
      <c r="C55" s="5">
        <v>1982</v>
      </c>
    </row>
    <row r="56" spans="1:3" x14ac:dyDescent="0.25">
      <c r="A56" s="4">
        <v>158</v>
      </c>
      <c r="B56" s="1" t="s">
        <v>85</v>
      </c>
      <c r="C56" s="5">
        <v>1983</v>
      </c>
    </row>
    <row r="57" spans="1:3" x14ac:dyDescent="0.25">
      <c r="A57" s="4">
        <v>159</v>
      </c>
      <c r="B57" s="1" t="s">
        <v>86</v>
      </c>
      <c r="C57" s="5">
        <v>1985</v>
      </c>
    </row>
    <row r="58" spans="1:3" x14ac:dyDescent="0.25">
      <c r="A58" s="4">
        <v>160</v>
      </c>
      <c r="B58" s="1" t="s">
        <v>87</v>
      </c>
      <c r="C58" s="5">
        <v>1979</v>
      </c>
    </row>
    <row r="59" spans="1:3" x14ac:dyDescent="0.25">
      <c r="A59" s="4">
        <v>161</v>
      </c>
      <c r="B59" s="1" t="s">
        <v>88</v>
      </c>
      <c r="C59" s="5">
        <v>1984</v>
      </c>
    </row>
    <row r="60" spans="1:3" x14ac:dyDescent="0.25">
      <c r="A60" s="4">
        <v>162</v>
      </c>
      <c r="B60" s="1" t="s">
        <v>89</v>
      </c>
      <c r="C60" s="5">
        <v>1950</v>
      </c>
    </row>
    <row r="61" spans="1:3" x14ac:dyDescent="0.25">
      <c r="A61" s="4">
        <v>163</v>
      </c>
      <c r="B61" s="1" t="s">
        <v>90</v>
      </c>
      <c r="C61" s="5">
        <v>1955</v>
      </c>
    </row>
    <row r="62" spans="1:3" x14ac:dyDescent="0.25">
      <c r="A62" s="4">
        <v>164</v>
      </c>
      <c r="B62" s="1" t="s">
        <v>91</v>
      </c>
      <c r="C62" s="5">
        <v>1965</v>
      </c>
    </row>
    <row r="63" spans="1:3" x14ac:dyDescent="0.25">
      <c r="A63" s="4">
        <v>165</v>
      </c>
      <c r="B63" s="1" t="s">
        <v>92</v>
      </c>
      <c r="C63" s="5">
        <v>1967</v>
      </c>
    </row>
    <row r="64" spans="1:3" x14ac:dyDescent="0.25">
      <c r="A64" s="4">
        <v>166</v>
      </c>
      <c r="B64" s="1" t="s">
        <v>93</v>
      </c>
      <c r="C64" s="5">
        <v>1946</v>
      </c>
    </row>
    <row r="65" spans="1:3" x14ac:dyDescent="0.25">
      <c r="A65" s="4">
        <v>167</v>
      </c>
      <c r="B65" s="1" t="s">
        <v>94</v>
      </c>
      <c r="C65" s="5">
        <v>1982</v>
      </c>
    </row>
    <row r="66" spans="1:3" x14ac:dyDescent="0.25">
      <c r="A66" s="4">
        <v>168</v>
      </c>
      <c r="B66" s="1" t="s">
        <v>95</v>
      </c>
      <c r="C66" s="5">
        <v>1956</v>
      </c>
    </row>
    <row r="67" spans="1:3" x14ac:dyDescent="0.25">
      <c r="A67" s="4">
        <v>169</v>
      </c>
      <c r="B67" s="1" t="s">
        <v>96</v>
      </c>
      <c r="C67" s="5">
        <v>1985</v>
      </c>
    </row>
    <row r="68" spans="1:3" x14ac:dyDescent="0.25">
      <c r="A68" s="4">
        <v>170</v>
      </c>
      <c r="B68" s="1" t="s">
        <v>97</v>
      </c>
      <c r="C68" s="5">
        <v>1991</v>
      </c>
    </row>
    <row r="69" spans="1:3" x14ac:dyDescent="0.25">
      <c r="A69" s="4">
        <v>171</v>
      </c>
      <c r="B69" s="1" t="s">
        <v>98</v>
      </c>
      <c r="C69" s="5">
        <v>1999</v>
      </c>
    </row>
    <row r="70" spans="1:3" x14ac:dyDescent="0.25">
      <c r="A70" s="4">
        <v>170</v>
      </c>
      <c r="B70" s="1" t="s">
        <v>97</v>
      </c>
      <c r="C70" s="5">
        <v>1991</v>
      </c>
    </row>
    <row r="71" spans="1:3" x14ac:dyDescent="0.25">
      <c r="A71" s="4">
        <v>170</v>
      </c>
      <c r="B71" s="1" t="s">
        <v>97</v>
      </c>
      <c r="C71" s="5">
        <v>1991</v>
      </c>
    </row>
    <row r="72" spans="1:3" x14ac:dyDescent="0.25">
      <c r="A72" s="4">
        <v>170</v>
      </c>
      <c r="B72" s="1" t="s">
        <v>97</v>
      </c>
      <c r="C72" s="5">
        <v>1991</v>
      </c>
    </row>
    <row r="73" spans="1:3" x14ac:dyDescent="0.25">
      <c r="A73" s="4">
        <v>170</v>
      </c>
      <c r="B73" s="1" t="s">
        <v>97</v>
      </c>
      <c r="C73" s="5">
        <v>1991</v>
      </c>
    </row>
    <row r="74" spans="1:3" x14ac:dyDescent="0.25">
      <c r="A74" s="4">
        <v>170</v>
      </c>
      <c r="B74" s="1" t="s">
        <v>97</v>
      </c>
      <c r="C74" s="5">
        <v>1991</v>
      </c>
    </row>
    <row r="75" spans="1:3" x14ac:dyDescent="0.25">
      <c r="A75" s="4">
        <v>170</v>
      </c>
      <c r="B75" s="1" t="s">
        <v>97</v>
      </c>
      <c r="C75" s="5">
        <v>1991</v>
      </c>
    </row>
    <row r="76" spans="1:3" x14ac:dyDescent="0.25">
      <c r="A76" s="6">
        <v>170</v>
      </c>
      <c r="B76" s="7" t="s">
        <v>97</v>
      </c>
      <c r="C76" s="8">
        <v>1991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4C001-E0FC-48DC-9847-F85BB4692CC1}">
  <sheetPr codeName="Sheet6"/>
  <dimension ref="A1:B88"/>
  <sheetViews>
    <sheetView workbookViewId="0">
      <selection activeCell="F21" sqref="F21"/>
    </sheetView>
  </sheetViews>
  <sheetFormatPr defaultRowHeight="15" x14ac:dyDescent="0.25"/>
  <cols>
    <col min="1" max="1" width="10.7109375" customWidth="1"/>
    <col min="2" max="2" width="9.7109375" customWidth="1"/>
  </cols>
  <sheetData>
    <row r="1" spans="1:2" x14ac:dyDescent="0.25">
      <c r="A1" s="9" t="s">
        <v>22</v>
      </c>
      <c r="B1" s="12" t="s">
        <v>28</v>
      </c>
    </row>
    <row r="2" spans="1:2" x14ac:dyDescent="0.25">
      <c r="A2" s="4">
        <v>101</v>
      </c>
      <c r="B2" s="5">
        <v>100</v>
      </c>
    </row>
    <row r="3" spans="1:2" x14ac:dyDescent="0.25">
      <c r="A3" s="4">
        <v>101</v>
      </c>
      <c r="B3" s="5">
        <v>51</v>
      </c>
    </row>
    <row r="4" spans="1:2" x14ac:dyDescent="0.25">
      <c r="A4" s="4">
        <v>102</v>
      </c>
      <c r="B4" s="5">
        <v>52</v>
      </c>
    </row>
    <row r="5" spans="1:2" x14ac:dyDescent="0.25">
      <c r="A5" s="4">
        <v>102</v>
      </c>
      <c r="B5" s="5">
        <v>53</v>
      </c>
    </row>
    <row r="6" spans="1:2" x14ac:dyDescent="0.25">
      <c r="A6" s="4">
        <v>103</v>
      </c>
      <c r="B6" s="5">
        <v>54</v>
      </c>
    </row>
    <row r="7" spans="1:2" x14ac:dyDescent="0.25">
      <c r="A7" s="4">
        <v>103</v>
      </c>
      <c r="B7" s="5">
        <v>55</v>
      </c>
    </row>
    <row r="8" spans="1:2" x14ac:dyDescent="0.25">
      <c r="A8" s="4">
        <v>103</v>
      </c>
      <c r="B8" s="5">
        <v>56</v>
      </c>
    </row>
    <row r="9" spans="1:2" x14ac:dyDescent="0.25">
      <c r="A9" s="4">
        <v>104</v>
      </c>
      <c r="B9" s="5">
        <v>54</v>
      </c>
    </row>
    <row r="10" spans="1:2" x14ac:dyDescent="0.25">
      <c r="A10" s="4">
        <v>104</v>
      </c>
      <c r="B10" s="5">
        <v>56</v>
      </c>
    </row>
    <row r="11" spans="1:2" x14ac:dyDescent="0.25">
      <c r="A11" s="4">
        <v>105</v>
      </c>
      <c r="B11" s="5">
        <v>54</v>
      </c>
    </row>
    <row r="12" spans="1:2" x14ac:dyDescent="0.25">
      <c r="A12" s="4">
        <v>105</v>
      </c>
      <c r="B12" s="5">
        <v>55</v>
      </c>
    </row>
    <row r="13" spans="1:2" x14ac:dyDescent="0.25">
      <c r="A13" s="4">
        <v>106</v>
      </c>
      <c r="B13" s="5">
        <v>57</v>
      </c>
    </row>
    <row r="14" spans="1:2" x14ac:dyDescent="0.25">
      <c r="A14" s="4">
        <v>106</v>
      </c>
      <c r="B14" s="5">
        <v>58</v>
      </c>
    </row>
    <row r="15" spans="1:2" x14ac:dyDescent="0.25">
      <c r="A15" s="4">
        <v>107</v>
      </c>
      <c r="B15" s="5">
        <v>59</v>
      </c>
    </row>
    <row r="16" spans="1:2" x14ac:dyDescent="0.25">
      <c r="A16" s="4">
        <v>107</v>
      </c>
      <c r="B16" s="5">
        <v>60</v>
      </c>
    </row>
    <row r="17" spans="1:2" x14ac:dyDescent="0.25">
      <c r="A17" s="4">
        <v>108</v>
      </c>
      <c r="B17" s="5">
        <v>61</v>
      </c>
    </row>
    <row r="18" spans="1:2" x14ac:dyDescent="0.25">
      <c r="A18" s="4">
        <v>108</v>
      </c>
      <c r="B18" s="5">
        <v>62</v>
      </c>
    </row>
    <row r="19" spans="1:2" x14ac:dyDescent="0.25">
      <c r="A19" s="4">
        <v>108</v>
      </c>
      <c r="B19" s="5">
        <v>63</v>
      </c>
    </row>
    <row r="20" spans="1:2" x14ac:dyDescent="0.25">
      <c r="A20" s="4">
        <v>109</v>
      </c>
      <c r="B20" s="5">
        <v>59</v>
      </c>
    </row>
    <row r="21" spans="1:2" x14ac:dyDescent="0.25">
      <c r="A21" s="4">
        <v>109</v>
      </c>
      <c r="B21" s="5">
        <v>57</v>
      </c>
    </row>
    <row r="22" spans="1:2" x14ac:dyDescent="0.25">
      <c r="A22" s="4">
        <v>109</v>
      </c>
      <c r="B22" s="5">
        <v>64</v>
      </c>
    </row>
    <row r="23" spans="1:2" x14ac:dyDescent="0.25">
      <c r="A23" s="4">
        <v>110</v>
      </c>
      <c r="B23" s="5">
        <v>65</v>
      </c>
    </row>
    <row r="24" spans="1:2" x14ac:dyDescent="0.25">
      <c r="A24" s="4">
        <v>110</v>
      </c>
      <c r="B24" s="5">
        <v>66</v>
      </c>
    </row>
    <row r="25" spans="1:2" x14ac:dyDescent="0.25">
      <c r="A25" s="4">
        <v>111</v>
      </c>
      <c r="B25" s="5">
        <v>67</v>
      </c>
    </row>
    <row r="26" spans="1:2" x14ac:dyDescent="0.25">
      <c r="A26" s="4">
        <v>111</v>
      </c>
      <c r="B26" s="5">
        <v>68</v>
      </c>
    </row>
    <row r="27" spans="1:2" x14ac:dyDescent="0.25">
      <c r="A27" s="4">
        <v>112</v>
      </c>
      <c r="B27" s="5">
        <v>69</v>
      </c>
    </row>
    <row r="28" spans="1:2" x14ac:dyDescent="0.25">
      <c r="A28" s="4">
        <v>112</v>
      </c>
      <c r="B28" s="5">
        <v>70</v>
      </c>
    </row>
    <row r="29" spans="1:2" x14ac:dyDescent="0.25">
      <c r="A29" s="4">
        <v>113</v>
      </c>
      <c r="B29" s="5">
        <v>71</v>
      </c>
    </row>
    <row r="30" spans="1:2" x14ac:dyDescent="0.25">
      <c r="A30" s="4">
        <v>113</v>
      </c>
      <c r="B30" s="5">
        <v>72</v>
      </c>
    </row>
    <row r="31" spans="1:2" x14ac:dyDescent="0.25">
      <c r="A31" s="4">
        <v>114</v>
      </c>
      <c r="B31" s="5">
        <v>73</v>
      </c>
    </row>
    <row r="32" spans="1:2" x14ac:dyDescent="0.25">
      <c r="A32" s="4">
        <v>114</v>
      </c>
      <c r="B32" s="5">
        <v>74</v>
      </c>
    </row>
    <row r="33" spans="1:2" x14ac:dyDescent="0.25">
      <c r="A33" s="4">
        <v>115</v>
      </c>
      <c r="B33" s="5">
        <v>75</v>
      </c>
    </row>
    <row r="34" spans="1:2" x14ac:dyDescent="0.25">
      <c r="A34" s="4">
        <v>115</v>
      </c>
      <c r="B34" s="5">
        <v>76</v>
      </c>
    </row>
    <row r="35" spans="1:2" x14ac:dyDescent="0.25">
      <c r="A35" s="4">
        <v>116</v>
      </c>
      <c r="B35" s="5">
        <v>77</v>
      </c>
    </row>
    <row r="36" spans="1:2" x14ac:dyDescent="0.25">
      <c r="A36" s="4">
        <v>116</v>
      </c>
      <c r="B36" s="5">
        <v>78</v>
      </c>
    </row>
    <row r="37" spans="1:2" x14ac:dyDescent="0.25">
      <c r="A37" s="4">
        <v>117</v>
      </c>
      <c r="B37" s="5">
        <v>69</v>
      </c>
    </row>
    <row r="38" spans="1:2" x14ac:dyDescent="0.25">
      <c r="A38" s="4">
        <v>117</v>
      </c>
      <c r="B38" s="5">
        <v>79</v>
      </c>
    </row>
    <row r="39" spans="1:2" x14ac:dyDescent="0.25">
      <c r="A39" s="4">
        <v>118</v>
      </c>
      <c r="B39" s="5">
        <v>80</v>
      </c>
    </row>
    <row r="40" spans="1:2" x14ac:dyDescent="0.25">
      <c r="A40" s="4">
        <v>118</v>
      </c>
      <c r="B40" s="5">
        <v>81</v>
      </c>
    </row>
    <row r="41" spans="1:2" x14ac:dyDescent="0.25">
      <c r="A41" s="4">
        <v>119</v>
      </c>
      <c r="B41" s="5">
        <v>82</v>
      </c>
    </row>
    <row r="42" spans="1:2" x14ac:dyDescent="0.25">
      <c r="A42" s="4">
        <v>119</v>
      </c>
      <c r="B42" s="5">
        <v>83</v>
      </c>
    </row>
    <row r="43" spans="1:2" x14ac:dyDescent="0.25">
      <c r="A43" s="4">
        <v>120</v>
      </c>
      <c r="B43" s="5">
        <v>84</v>
      </c>
    </row>
    <row r="44" spans="1:2" x14ac:dyDescent="0.25">
      <c r="A44" s="4">
        <v>120</v>
      </c>
      <c r="B44" s="5">
        <v>85</v>
      </c>
    </row>
    <row r="45" spans="1:2" x14ac:dyDescent="0.25">
      <c r="A45" s="4">
        <v>121</v>
      </c>
      <c r="B45" s="5">
        <v>86</v>
      </c>
    </row>
    <row r="46" spans="1:2" x14ac:dyDescent="0.25">
      <c r="A46" s="4">
        <v>121</v>
      </c>
      <c r="B46" s="5">
        <v>87</v>
      </c>
    </row>
    <row r="47" spans="1:2" x14ac:dyDescent="0.25">
      <c r="A47" s="4">
        <v>122</v>
      </c>
      <c r="B47" s="5">
        <v>88</v>
      </c>
    </row>
    <row r="48" spans="1:2" x14ac:dyDescent="0.25">
      <c r="A48" s="4">
        <v>122</v>
      </c>
      <c r="B48" s="5">
        <v>89</v>
      </c>
    </row>
    <row r="49" spans="1:2" x14ac:dyDescent="0.25">
      <c r="A49" s="4">
        <v>123</v>
      </c>
      <c r="B49" s="5">
        <v>90</v>
      </c>
    </row>
    <row r="50" spans="1:2" x14ac:dyDescent="0.25">
      <c r="A50" s="4">
        <v>123</v>
      </c>
      <c r="B50" s="5">
        <v>91</v>
      </c>
    </row>
    <row r="51" spans="1:2" x14ac:dyDescent="0.25">
      <c r="A51" s="4">
        <v>124</v>
      </c>
      <c r="B51" s="5">
        <v>92</v>
      </c>
    </row>
    <row r="52" spans="1:2" x14ac:dyDescent="0.25">
      <c r="A52" s="4">
        <v>124</v>
      </c>
      <c r="B52" s="5">
        <v>93</v>
      </c>
    </row>
    <row r="53" spans="1:2" x14ac:dyDescent="0.25">
      <c r="A53" s="4">
        <v>125</v>
      </c>
      <c r="B53" s="5">
        <v>94</v>
      </c>
    </row>
    <row r="54" spans="1:2" x14ac:dyDescent="0.25">
      <c r="A54" s="4">
        <v>125</v>
      </c>
      <c r="B54" s="5">
        <v>95</v>
      </c>
    </row>
    <row r="55" spans="1:2" x14ac:dyDescent="0.25">
      <c r="A55" s="4">
        <v>125</v>
      </c>
      <c r="B55" s="5">
        <v>54</v>
      </c>
    </row>
    <row r="56" spans="1:2" x14ac:dyDescent="0.25">
      <c r="A56" s="4">
        <v>126</v>
      </c>
      <c r="B56" s="5">
        <v>94</v>
      </c>
    </row>
    <row r="57" spans="1:2" x14ac:dyDescent="0.25">
      <c r="A57" s="4">
        <v>126</v>
      </c>
      <c r="B57" s="5">
        <v>95</v>
      </c>
    </row>
    <row r="58" spans="1:2" x14ac:dyDescent="0.25">
      <c r="A58" s="4">
        <v>126</v>
      </c>
      <c r="B58" s="5">
        <v>54</v>
      </c>
    </row>
    <row r="59" spans="1:2" x14ac:dyDescent="0.25">
      <c r="A59" s="4">
        <v>127</v>
      </c>
      <c r="B59" s="5">
        <v>150</v>
      </c>
    </row>
    <row r="60" spans="1:2" x14ac:dyDescent="0.25">
      <c r="A60" s="4">
        <v>127</v>
      </c>
      <c r="B60" s="5">
        <v>151</v>
      </c>
    </row>
    <row r="61" spans="1:2" x14ac:dyDescent="0.25">
      <c r="A61" s="4">
        <v>128</v>
      </c>
      <c r="B61" s="5">
        <v>61</v>
      </c>
    </row>
    <row r="62" spans="1:2" x14ac:dyDescent="0.25">
      <c r="A62" s="4">
        <v>128</v>
      </c>
      <c r="B62" s="5">
        <v>152</v>
      </c>
    </row>
    <row r="63" spans="1:2" x14ac:dyDescent="0.25">
      <c r="A63" s="4">
        <v>129</v>
      </c>
      <c r="B63" s="5">
        <v>51</v>
      </c>
    </row>
    <row r="64" spans="1:2" x14ac:dyDescent="0.25">
      <c r="A64" s="4">
        <v>129</v>
      </c>
      <c r="B64" s="5">
        <v>153</v>
      </c>
    </row>
    <row r="65" spans="1:2" x14ac:dyDescent="0.25">
      <c r="A65" s="4">
        <v>130</v>
      </c>
      <c r="B65" s="5">
        <v>61</v>
      </c>
    </row>
    <row r="66" spans="1:2" x14ac:dyDescent="0.25">
      <c r="A66" s="4">
        <v>130</v>
      </c>
      <c r="B66" s="5">
        <v>154</v>
      </c>
    </row>
    <row r="67" spans="1:2" x14ac:dyDescent="0.25">
      <c r="A67" s="4">
        <v>131</v>
      </c>
      <c r="B67" s="5">
        <v>155</v>
      </c>
    </row>
    <row r="68" spans="1:2" x14ac:dyDescent="0.25">
      <c r="A68" s="4">
        <v>131</v>
      </c>
      <c r="B68" s="5">
        <v>154</v>
      </c>
    </row>
    <row r="69" spans="1:2" x14ac:dyDescent="0.25">
      <c r="A69" s="4">
        <v>132</v>
      </c>
      <c r="B69" s="5">
        <v>156</v>
      </c>
    </row>
    <row r="70" spans="1:2" x14ac:dyDescent="0.25">
      <c r="A70" s="4">
        <v>132</v>
      </c>
      <c r="B70" s="5">
        <v>157</v>
      </c>
    </row>
    <row r="71" spans="1:2" x14ac:dyDescent="0.25">
      <c r="A71" s="4">
        <v>133</v>
      </c>
      <c r="B71" s="5">
        <v>158</v>
      </c>
    </row>
    <row r="72" spans="1:2" x14ac:dyDescent="0.25">
      <c r="A72" s="4">
        <v>133</v>
      </c>
      <c r="B72" s="5">
        <v>159</v>
      </c>
    </row>
    <row r="73" spans="1:2" x14ac:dyDescent="0.25">
      <c r="A73" s="4">
        <v>134</v>
      </c>
      <c r="B73" s="5">
        <v>160</v>
      </c>
    </row>
    <row r="74" spans="1:2" x14ac:dyDescent="0.25">
      <c r="A74" s="4">
        <v>134</v>
      </c>
      <c r="B74" s="5">
        <v>161</v>
      </c>
    </row>
    <row r="75" spans="1:2" x14ac:dyDescent="0.25">
      <c r="A75" s="4">
        <v>135</v>
      </c>
      <c r="B75" s="5">
        <v>162</v>
      </c>
    </row>
    <row r="76" spans="1:2" x14ac:dyDescent="0.25">
      <c r="A76" s="4">
        <v>135</v>
      </c>
      <c r="B76" s="5">
        <v>163</v>
      </c>
    </row>
    <row r="77" spans="1:2" x14ac:dyDescent="0.25">
      <c r="A77" s="4">
        <v>136</v>
      </c>
      <c r="B77" s="5">
        <v>164</v>
      </c>
    </row>
    <row r="78" spans="1:2" x14ac:dyDescent="0.25">
      <c r="A78" s="4">
        <v>136</v>
      </c>
      <c r="B78" s="5">
        <v>165</v>
      </c>
    </row>
    <row r="79" spans="1:2" x14ac:dyDescent="0.25">
      <c r="A79" s="4">
        <v>137</v>
      </c>
      <c r="B79" s="5">
        <v>95</v>
      </c>
    </row>
    <row r="80" spans="1:2" x14ac:dyDescent="0.25">
      <c r="A80" s="4">
        <v>137</v>
      </c>
      <c r="B80" s="5">
        <v>166</v>
      </c>
    </row>
    <row r="81" spans="1:2" x14ac:dyDescent="0.25">
      <c r="A81" s="4">
        <v>138</v>
      </c>
      <c r="B81" s="5">
        <v>95</v>
      </c>
    </row>
    <row r="82" spans="1:2" x14ac:dyDescent="0.25">
      <c r="A82" s="4">
        <v>138</v>
      </c>
      <c r="B82" s="5">
        <v>167</v>
      </c>
    </row>
    <row r="83" spans="1:2" x14ac:dyDescent="0.25">
      <c r="A83" s="4">
        <v>139</v>
      </c>
      <c r="B83" s="5">
        <v>164</v>
      </c>
    </row>
    <row r="84" spans="1:2" x14ac:dyDescent="0.25">
      <c r="A84" s="4">
        <v>139</v>
      </c>
      <c r="B84" s="5">
        <v>168</v>
      </c>
    </row>
    <row r="85" spans="1:2" x14ac:dyDescent="0.25">
      <c r="A85" s="4">
        <v>140</v>
      </c>
      <c r="B85" s="5">
        <v>169</v>
      </c>
    </row>
    <row r="86" spans="1:2" x14ac:dyDescent="0.25">
      <c r="A86" s="4">
        <v>140</v>
      </c>
      <c r="B86" s="5">
        <v>170</v>
      </c>
    </row>
    <row r="87" spans="1:2" x14ac:dyDescent="0.25">
      <c r="A87" s="4">
        <v>141</v>
      </c>
      <c r="B87" s="5">
        <v>150</v>
      </c>
    </row>
    <row r="88" spans="1:2" x14ac:dyDescent="0.25">
      <c r="A88" s="6">
        <v>142</v>
      </c>
      <c r="B88" s="8">
        <v>200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69939-6982-4F01-9A9E-DBF58E1C7800}">
  <dimension ref="A1:B9"/>
  <sheetViews>
    <sheetView workbookViewId="0">
      <selection activeCell="H18" sqref="H18"/>
    </sheetView>
  </sheetViews>
  <sheetFormatPr defaultRowHeight="15" x14ac:dyDescent="0.25"/>
  <cols>
    <col min="1" max="1" width="13.42578125" bestFit="1" customWidth="1"/>
    <col min="2" max="2" width="8" bestFit="1" customWidth="1"/>
  </cols>
  <sheetData>
    <row r="1" spans="1:2" x14ac:dyDescent="0.25">
      <c r="A1" t="s">
        <v>2</v>
      </c>
      <c r="B1" t="s">
        <v>29</v>
      </c>
    </row>
    <row r="2" spans="1:2" x14ac:dyDescent="0.25">
      <c r="A2">
        <v>1</v>
      </c>
      <c r="B2" t="s">
        <v>99</v>
      </c>
    </row>
    <row r="3" spans="1:2" x14ac:dyDescent="0.25">
      <c r="A3">
        <v>2</v>
      </c>
      <c r="B3" t="s">
        <v>100</v>
      </c>
    </row>
    <row r="4" spans="1:2" x14ac:dyDescent="0.25">
      <c r="A4">
        <v>3</v>
      </c>
      <c r="B4" t="s">
        <v>101</v>
      </c>
    </row>
    <row r="5" spans="1:2" x14ac:dyDescent="0.25">
      <c r="A5">
        <v>4</v>
      </c>
      <c r="B5" t="s">
        <v>102</v>
      </c>
    </row>
    <row r="6" spans="1:2" x14ac:dyDescent="0.25">
      <c r="A6">
        <v>5</v>
      </c>
      <c r="B6" t="s">
        <v>103</v>
      </c>
    </row>
    <row r="7" spans="1:2" x14ac:dyDescent="0.25">
      <c r="A7">
        <v>6</v>
      </c>
      <c r="B7" t="s">
        <v>104</v>
      </c>
    </row>
    <row r="8" spans="1:2" x14ac:dyDescent="0.25">
      <c r="A8">
        <v>7</v>
      </c>
      <c r="B8" t="s">
        <v>105</v>
      </c>
    </row>
    <row r="9" spans="1:2" x14ac:dyDescent="0.25">
      <c r="A9">
        <v>8</v>
      </c>
      <c r="B9" t="s">
        <v>106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E90BE-051B-46D4-AEBF-4334A0CC6536}">
  <dimension ref="A1"/>
  <sheetViews>
    <sheetView showGridLines="0" tabSelected="1" zoomScale="55" zoomScaleNormal="55" workbookViewId="0">
      <selection activeCell="AA12" sqref="AA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C6FC26FC-5C50-4938-B7FA-031E2D62902C}">
  <ds:schemaRefs/>
</ds:datastoreItem>
</file>

<file path=customXml/itemProps2.xml><?xml version="1.0" encoding="utf-8"?>
<ds:datastoreItem xmlns:ds="http://schemas.openxmlformats.org/officeDocument/2006/customXml" ds:itemID="{A6D6487B-1B11-465A-8ECB-D2406772F6BE}">
  <ds:schemaRefs/>
</ds:datastoreItem>
</file>

<file path=customXml/itemProps3.xml><?xml version="1.0" encoding="utf-8"?>
<ds:datastoreItem xmlns:ds="http://schemas.openxmlformats.org/officeDocument/2006/customXml" ds:itemID="{BB1712E1-3753-47D2-B6F5-EE30A1CACFA2}">
  <ds:schemaRefs/>
</ds:datastoreItem>
</file>

<file path=customXml/itemProps4.xml><?xml version="1.0" encoding="utf-8"?>
<ds:datastoreItem xmlns:ds="http://schemas.openxmlformats.org/officeDocument/2006/customXml" ds:itemID="{E15B1D52-44D8-4B80-BB21-B0CDFF2D05E3}">
  <ds:schemaRefs/>
</ds:datastoreItem>
</file>

<file path=customXml/itemProps5.xml><?xml version="1.0" encoding="utf-8"?>
<ds:datastoreItem xmlns:ds="http://schemas.openxmlformats.org/officeDocument/2006/customXml" ds:itemID="{ECE29523-57C7-495B-91B6-A830B8786CDD}">
  <ds:schemaRefs/>
</ds:datastoreItem>
</file>

<file path=customXml/itemProps6.xml><?xml version="1.0" encoding="utf-8"?>
<ds:datastoreItem xmlns:ds="http://schemas.openxmlformats.org/officeDocument/2006/customXml" ds:itemID="{E816A512-E4A3-4313-BAE5-EFAEF15FEC5F}">
  <ds:schemaRefs/>
</ds:datastoreItem>
</file>

<file path=customXml/itemProps7.xml><?xml version="1.0" encoding="utf-8"?>
<ds:datastoreItem xmlns:ds="http://schemas.openxmlformats.org/officeDocument/2006/customXml" ds:itemID="{8999A9C1-55F6-4C08-BD55-DF4698365DAC}">
  <ds:schemaRefs/>
</ds:datastoreItem>
</file>

<file path=customXml/itemProps8.xml><?xml version="1.0" encoding="utf-8"?>
<ds:datastoreItem xmlns:ds="http://schemas.openxmlformats.org/officeDocument/2006/customXml" ds:itemID="{41221C05-B6C1-4060-9150-BE96DD10BB53}">
  <ds:schemaRefs/>
</ds:datastoreItem>
</file>

<file path=customXml/itemProps9.xml><?xml version="1.0" encoding="utf-8"?>
<ds:datastoreItem xmlns:ds="http://schemas.openxmlformats.org/officeDocument/2006/customXml" ds:itemID="{3DB27E68-6604-4B7D-8169-A5A3838FF4A7}">
  <ds:schemaRefs>
    <ds:schemaRef ds:uri="http://schemas.microsoft.com/DataMashup"/>
  </ds:schemaRefs>
</ds:datastoreItem>
</file>

<file path=customXml/itemProps10.xml><?xml version="1.0" encoding="utf-8"?>
<ds:datastoreItem xmlns:ds="http://schemas.openxmlformats.org/officeDocument/2006/customXml" ds:itemID="{A8BDF92B-27A2-4E1C-BF07-ACC1C2932B75}">
  <ds:schemaRefs/>
</ds:datastoreItem>
</file>

<file path=customXml/itemProps11.xml><?xml version="1.0" encoding="utf-8"?>
<ds:datastoreItem xmlns:ds="http://schemas.openxmlformats.org/officeDocument/2006/customXml" ds:itemID="{EFE12136-AD4C-48E0-B9DE-8D2D2FA653D5}">
  <ds:schemaRefs/>
</ds:datastoreItem>
</file>

<file path=customXml/itemProps12.xml><?xml version="1.0" encoding="utf-8"?>
<ds:datastoreItem xmlns:ds="http://schemas.openxmlformats.org/officeDocument/2006/customXml" ds:itemID="{036D91AF-D4C0-4B7B-9845-878D8426DDDE}">
  <ds:schemaRefs/>
</ds:datastoreItem>
</file>

<file path=customXml/itemProps13.xml><?xml version="1.0" encoding="utf-8"?>
<ds:datastoreItem xmlns:ds="http://schemas.openxmlformats.org/officeDocument/2006/customXml" ds:itemID="{3317C5E4-A12B-44DA-B972-DE162A9BBFCF}">
  <ds:schemaRefs/>
</ds:datastoreItem>
</file>

<file path=customXml/itemProps14.xml><?xml version="1.0" encoding="utf-8"?>
<ds:datastoreItem xmlns:ds="http://schemas.openxmlformats.org/officeDocument/2006/customXml" ds:itemID="{1EE3A3F1-EAAA-496A-9005-330697247F58}">
  <ds:schemaRefs/>
</ds:datastoreItem>
</file>

<file path=customXml/itemProps15.xml><?xml version="1.0" encoding="utf-8"?>
<ds:datastoreItem xmlns:ds="http://schemas.openxmlformats.org/officeDocument/2006/customXml" ds:itemID="{1EB15EEC-9A67-4407-B44F-B1665C6C30C9}">
  <ds:schemaRefs/>
</ds:datastoreItem>
</file>

<file path=customXml/itemProps16.xml><?xml version="1.0" encoding="utf-8"?>
<ds:datastoreItem xmlns:ds="http://schemas.openxmlformats.org/officeDocument/2006/customXml" ds:itemID="{61C0324B-D047-4D69-9224-10037F26F9B1}">
  <ds:schemaRefs/>
</ds:datastoreItem>
</file>

<file path=customXml/itemProps17.xml><?xml version="1.0" encoding="utf-8"?>
<ds:datastoreItem xmlns:ds="http://schemas.openxmlformats.org/officeDocument/2006/customXml" ds:itemID="{6BE2BE17-1E12-4F9B-8EAD-0062DB1124E4}">
  <ds:schemaRefs/>
</ds:datastoreItem>
</file>

<file path=customXml/itemProps18.xml><?xml version="1.0" encoding="utf-8"?>
<ds:datastoreItem xmlns:ds="http://schemas.openxmlformats.org/officeDocument/2006/customXml" ds:itemID="{A03EB58E-9448-4B66-AA02-9C1047F966DE}">
  <ds:schemaRefs/>
</ds:datastoreItem>
</file>

<file path=customXml/itemProps19.xml><?xml version="1.0" encoding="utf-8"?>
<ds:datastoreItem xmlns:ds="http://schemas.openxmlformats.org/officeDocument/2006/customXml" ds:itemID="{D67D0869-981C-45EF-A2A9-A0DE1EF81BFB}">
  <ds:schemaRefs/>
</ds:datastoreItem>
</file>

<file path=customXml/itemProps20.xml><?xml version="1.0" encoding="utf-8"?>
<ds:datastoreItem xmlns:ds="http://schemas.openxmlformats.org/officeDocument/2006/customXml" ds:itemID="{08A7F92C-978F-4AFE-80E3-8D929FC263C1}">
  <ds:schemaRefs/>
</ds:datastoreItem>
</file>

<file path=customXml/itemProps21.xml><?xml version="1.0" encoding="utf-8"?>
<ds:datastoreItem xmlns:ds="http://schemas.openxmlformats.org/officeDocument/2006/customXml" ds:itemID="{495FEBA8-E1EF-4FBA-9EDB-C88DDF345805}">
  <ds:schemaRefs/>
</ds:datastoreItem>
</file>

<file path=customXml/itemProps22.xml><?xml version="1.0" encoding="utf-8"?>
<ds:datastoreItem xmlns:ds="http://schemas.openxmlformats.org/officeDocument/2006/customXml" ds:itemID="{6C735A40-F469-43A0-8894-B1AF05795C9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Sheet1</vt:lpstr>
      <vt:lpstr>Movies1</vt:lpstr>
      <vt:lpstr>Financials</vt:lpstr>
      <vt:lpstr>Actors</vt:lpstr>
      <vt:lpstr>Movie Actor</vt:lpstr>
      <vt:lpstr>Language</vt:lpstr>
      <vt:lpstr>Dashboard</vt:lpstr>
      <vt:lpstr>book</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KUMAR</dc:creator>
  <cp:lastModifiedBy>Lap1043</cp:lastModifiedBy>
  <dcterms:created xsi:type="dcterms:W3CDTF">2026-03-30T15:06:25Z</dcterms:created>
  <dcterms:modified xsi:type="dcterms:W3CDTF">2026-05-06T06:10:37Z</dcterms:modified>
</cp:coreProperties>
</file>